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dha\Downloads\"/>
    </mc:Choice>
  </mc:AlternateContent>
  <xr:revisionPtr revIDLastSave="0" documentId="13_ncr:1_{BD8E297F-1B3A-4633-B227-9C7654987485}" xr6:coauthVersionLast="47" xr6:coauthVersionMax="47" xr10:uidLastSave="{00000000-0000-0000-0000-000000000000}"/>
  <bookViews>
    <workbookView xWindow="-108" yWindow="-108" windowWidth="23256" windowHeight="12456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D6" i="1" s="1"/>
  <c r="D13" i="1"/>
  <c r="D14" i="1"/>
  <c r="D12" i="1"/>
  <c r="C14" i="1"/>
  <c r="C13" i="1"/>
  <c r="C12" i="1"/>
  <c r="B14" i="1"/>
  <c r="B13" i="1"/>
  <c r="B12" i="1"/>
  <c r="C6" i="1"/>
  <c r="Q3" i="1"/>
  <c r="Q4" i="1"/>
  <c r="R4" i="1" s="1"/>
  <c r="Q5" i="1"/>
  <c r="R5" i="1" s="1"/>
  <c r="Q6" i="1"/>
  <c r="Q7" i="1"/>
  <c r="R7" i="1" s="1"/>
  <c r="Q8" i="1"/>
  <c r="Q9" i="1"/>
  <c r="R9" i="1" s="1"/>
  <c r="Q10" i="1"/>
  <c r="R10" i="1" s="1"/>
  <c r="Q11" i="1"/>
  <c r="Q12" i="1"/>
  <c r="Q13" i="1"/>
  <c r="Q14" i="1"/>
  <c r="Q15" i="1"/>
  <c r="Q16" i="1"/>
  <c r="Q17" i="1"/>
  <c r="Q18" i="1"/>
  <c r="R18" i="1" s="1"/>
  <c r="Q19" i="1"/>
  <c r="Q20" i="1"/>
  <c r="R20" i="1" s="1"/>
  <c r="Q21" i="1"/>
  <c r="Q22" i="1"/>
  <c r="R22" i="1" s="1"/>
  <c r="Q23" i="1"/>
  <c r="Q24" i="1"/>
  <c r="Q25" i="1"/>
  <c r="Q26" i="1"/>
  <c r="Q27" i="1"/>
  <c r="Q28" i="1"/>
  <c r="Q29" i="1"/>
  <c r="R29" i="1" s="1"/>
  <c r="Q30" i="1"/>
  <c r="Q31" i="1"/>
  <c r="R31" i="1" s="1"/>
  <c r="Q32" i="1"/>
  <c r="R32" i="1" s="1"/>
  <c r="Q33" i="1"/>
  <c r="R33" i="1" s="1"/>
  <c r="Q34" i="1"/>
  <c r="Q35" i="1"/>
  <c r="Q36" i="1"/>
  <c r="Q37" i="1"/>
  <c r="Q38" i="1"/>
  <c r="Q39" i="1"/>
  <c r="Q40" i="1"/>
  <c r="Q41" i="1"/>
  <c r="R41" i="1" s="1"/>
  <c r="Q42" i="1"/>
  <c r="R42" i="1" s="1"/>
  <c r="Q43" i="1"/>
  <c r="R43" i="1" s="1"/>
  <c r="Q44" i="1"/>
  <c r="Q45" i="1"/>
  <c r="Q46" i="1"/>
  <c r="Q47" i="1"/>
  <c r="Q48" i="1"/>
  <c r="Q49" i="1"/>
  <c r="Q50" i="1"/>
  <c r="Q51" i="1"/>
  <c r="Q52" i="1"/>
  <c r="R52" i="1" s="1"/>
  <c r="Q53" i="1"/>
  <c r="R53" i="1" s="1"/>
  <c r="Q54" i="1"/>
  <c r="Q55" i="1"/>
  <c r="R55" i="1" s="1"/>
  <c r="Q56" i="1"/>
  <c r="R56" i="1" s="1"/>
  <c r="Q57" i="1"/>
  <c r="Q58" i="1"/>
  <c r="R58" i="1" s="1"/>
  <c r="Q59" i="1"/>
  <c r="Q60" i="1"/>
  <c r="Q61" i="1"/>
  <c r="Q62" i="1"/>
  <c r="Q63" i="1"/>
  <c r="Q64" i="1"/>
  <c r="R64" i="1" s="1"/>
  <c r="Q65" i="1"/>
  <c r="R65" i="1" s="1"/>
  <c r="Q66" i="1"/>
  <c r="R66" i="1" s="1"/>
  <c r="Q67" i="1"/>
  <c r="R67" i="1" s="1"/>
  <c r="Q68" i="1"/>
  <c r="Q69" i="1"/>
  <c r="Q70" i="1"/>
  <c r="R70" i="1" s="1"/>
  <c r="Q71" i="1"/>
  <c r="Q72" i="1"/>
  <c r="Q73" i="1"/>
  <c r="Q74" i="1"/>
  <c r="Q75" i="1"/>
  <c r="Q76" i="1"/>
  <c r="R76" i="1" s="1"/>
  <c r="Q77" i="1"/>
  <c r="R77" i="1" s="1"/>
  <c r="Q78" i="1"/>
  <c r="R78" i="1" s="1"/>
  <c r="Q79" i="1"/>
  <c r="R79" i="1" s="1"/>
  <c r="Q80" i="1"/>
  <c r="R80" i="1" s="1"/>
  <c r="Q81" i="1"/>
  <c r="Q82" i="1"/>
  <c r="R82" i="1" s="1"/>
  <c r="Q83" i="1"/>
  <c r="Q84" i="1"/>
  <c r="Q85" i="1"/>
  <c r="Q86" i="1"/>
  <c r="Q87" i="1"/>
  <c r="Q88" i="1"/>
  <c r="Q89" i="1"/>
  <c r="Q90" i="1"/>
  <c r="R90" i="1" s="1"/>
  <c r="Q91" i="1"/>
  <c r="Q92" i="1"/>
  <c r="Q93" i="1"/>
  <c r="Q94" i="1"/>
  <c r="Q95" i="1"/>
  <c r="Q96" i="1"/>
  <c r="Q97" i="1"/>
  <c r="Q98" i="1"/>
  <c r="Q99" i="1"/>
  <c r="Q100" i="1"/>
  <c r="Q101" i="1"/>
  <c r="R101" i="1" s="1"/>
  <c r="Q102" i="1"/>
  <c r="R102" i="1" s="1"/>
  <c r="Q103" i="1"/>
  <c r="R103" i="1" s="1"/>
  <c r="Q104" i="1"/>
  <c r="R104" i="1" s="1"/>
  <c r="Q105" i="1"/>
  <c r="Q106" i="1"/>
  <c r="R106" i="1" s="1"/>
  <c r="Q107" i="1"/>
  <c r="Q108" i="1"/>
  <c r="Q109" i="1"/>
  <c r="Q110" i="1"/>
  <c r="Q111" i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Q118" i="1"/>
  <c r="R118" i="1" s="1"/>
  <c r="Q119" i="1"/>
  <c r="Q120" i="1"/>
  <c r="Q121" i="1"/>
  <c r="Q122" i="1"/>
  <c r="Q123" i="1"/>
  <c r="Q124" i="1"/>
  <c r="R124" i="1" s="1"/>
  <c r="Q125" i="1"/>
  <c r="R125" i="1" s="1"/>
  <c r="Q126" i="1"/>
  <c r="R126" i="1" s="1"/>
  <c r="Q127" i="1"/>
  <c r="Q128" i="1"/>
  <c r="Q129" i="1"/>
  <c r="Q130" i="1"/>
  <c r="R130" i="1" s="1"/>
  <c r="Q131" i="1"/>
  <c r="Q132" i="1"/>
  <c r="Q133" i="1"/>
  <c r="Q134" i="1"/>
  <c r="Q135" i="1"/>
  <c r="Q136" i="1"/>
  <c r="Q137" i="1"/>
  <c r="Q138" i="1"/>
  <c r="R138" i="1" s="1"/>
  <c r="Q139" i="1"/>
  <c r="Q140" i="1"/>
  <c r="Q141" i="1"/>
  <c r="Q142" i="1"/>
  <c r="R142" i="1" s="1"/>
  <c r="Q143" i="1"/>
  <c r="Q144" i="1"/>
  <c r="Q145" i="1"/>
  <c r="Q146" i="1"/>
  <c r="Q147" i="1"/>
  <c r="Q148" i="1"/>
  <c r="R148" i="1" s="1"/>
  <c r="Q149" i="1"/>
  <c r="R149" i="1" s="1"/>
  <c r="Q150" i="1"/>
  <c r="R150" i="1" s="1"/>
  <c r="Q151" i="1"/>
  <c r="Q152" i="1"/>
  <c r="Q153" i="1"/>
  <c r="Q154" i="1"/>
  <c r="Q155" i="1"/>
  <c r="Q156" i="1"/>
  <c r="Q157" i="1"/>
  <c r="Q158" i="1"/>
  <c r="Q159" i="1"/>
  <c r="Q160" i="1"/>
  <c r="R160" i="1" s="1"/>
  <c r="Q161" i="1"/>
  <c r="Q162" i="1"/>
  <c r="R162" i="1" s="1"/>
  <c r="Q163" i="1"/>
  <c r="Q164" i="1"/>
  <c r="Q165" i="1"/>
  <c r="Q166" i="1"/>
  <c r="R166" i="1" s="1"/>
  <c r="Q167" i="1"/>
  <c r="Q168" i="1"/>
  <c r="Q169" i="1"/>
  <c r="Q170" i="1"/>
  <c r="Q171" i="1"/>
  <c r="Q172" i="1"/>
  <c r="Q173" i="1"/>
  <c r="Q174" i="1"/>
  <c r="R174" i="1" s="1"/>
  <c r="Q175" i="1"/>
  <c r="Q176" i="1"/>
  <c r="R176" i="1" s="1"/>
  <c r="Q177" i="1"/>
  <c r="Q178" i="1"/>
  <c r="R178" i="1" s="1"/>
  <c r="Q179" i="1"/>
  <c r="Q180" i="1"/>
  <c r="Q181" i="1"/>
  <c r="Q182" i="1"/>
  <c r="Q183" i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Q190" i="1"/>
  <c r="R190" i="1" s="1"/>
  <c r="Q191" i="1"/>
  <c r="Q192" i="1"/>
  <c r="Q193" i="1"/>
  <c r="Q194" i="1"/>
  <c r="Q195" i="1"/>
  <c r="Q196" i="1"/>
  <c r="R196" i="1" s="1"/>
  <c r="Q197" i="1"/>
  <c r="Q198" i="1"/>
  <c r="R198" i="1" s="1"/>
  <c r="Q199" i="1"/>
  <c r="R199" i="1" s="1"/>
  <c r="Q200" i="1"/>
  <c r="Q201" i="1"/>
  <c r="R201" i="1" s="1"/>
  <c r="Q202" i="1"/>
  <c r="R202" i="1" s="1"/>
  <c r="Q203" i="1"/>
  <c r="Q204" i="1"/>
  <c r="Q205" i="1"/>
  <c r="Q206" i="1"/>
  <c r="Q207" i="1"/>
  <c r="Q208" i="1"/>
  <c r="Q209" i="1"/>
  <c r="Q210" i="1"/>
  <c r="Q211" i="1"/>
  <c r="Q212" i="1"/>
  <c r="R212" i="1" s="1"/>
  <c r="Q213" i="1"/>
  <c r="R213" i="1" s="1"/>
  <c r="Q214" i="1"/>
  <c r="Q215" i="1"/>
  <c r="Q216" i="1"/>
  <c r="Q217" i="1"/>
  <c r="Q218" i="1"/>
  <c r="Q219" i="1"/>
  <c r="Q220" i="1"/>
  <c r="Q221" i="1"/>
  <c r="Q222" i="1"/>
  <c r="R222" i="1" s="1"/>
  <c r="Q223" i="1"/>
  <c r="Q224" i="1"/>
  <c r="Q225" i="1"/>
  <c r="Q226" i="1"/>
  <c r="R226" i="1" s="1"/>
  <c r="Q227" i="1"/>
  <c r="Q228" i="1"/>
  <c r="Q229" i="1"/>
  <c r="Q230" i="1"/>
  <c r="Q231" i="1"/>
  <c r="Q232" i="1"/>
  <c r="R232" i="1" s="1"/>
  <c r="Q233" i="1"/>
  <c r="R233" i="1" s="1"/>
  <c r="Q234" i="1"/>
  <c r="R234" i="1" s="1"/>
  <c r="Q235" i="1"/>
  <c r="Q236" i="1"/>
  <c r="R236" i="1" s="1"/>
  <c r="Q237" i="1"/>
  <c r="Q238" i="1"/>
  <c r="R238" i="1" s="1"/>
  <c r="Q239" i="1"/>
  <c r="Q240" i="1"/>
  <c r="Q241" i="1"/>
  <c r="Q242" i="1"/>
  <c r="Q243" i="1"/>
  <c r="Q244" i="1"/>
  <c r="Q245" i="1"/>
  <c r="Q246" i="1"/>
  <c r="R246" i="1" s="1"/>
  <c r="Q2" i="1"/>
  <c r="R2" i="1" s="1"/>
  <c r="P3" i="1"/>
  <c r="P4" i="1"/>
  <c r="P5" i="1"/>
  <c r="P6" i="1"/>
  <c r="P7" i="1"/>
  <c r="P8" i="1"/>
  <c r="P9" i="1"/>
  <c r="P10" i="1"/>
  <c r="P11" i="1"/>
  <c r="P12" i="1"/>
  <c r="P13" i="1"/>
  <c r="P14" i="1"/>
  <c r="R14" i="1" s="1"/>
  <c r="P15" i="1"/>
  <c r="P16" i="1"/>
  <c r="P17" i="1"/>
  <c r="P18" i="1"/>
  <c r="P19" i="1"/>
  <c r="P20" i="1"/>
  <c r="P21" i="1"/>
  <c r="P22" i="1"/>
  <c r="P23" i="1"/>
  <c r="P24" i="1"/>
  <c r="P25" i="1"/>
  <c r="P26" i="1"/>
  <c r="R26" i="1" s="1"/>
  <c r="P27" i="1"/>
  <c r="P28" i="1"/>
  <c r="P29" i="1"/>
  <c r="P30" i="1"/>
  <c r="P31" i="1"/>
  <c r="P32" i="1"/>
  <c r="P33" i="1"/>
  <c r="P34" i="1"/>
  <c r="P35" i="1"/>
  <c r="P36" i="1"/>
  <c r="P37" i="1"/>
  <c r="R37" i="1" s="1"/>
  <c r="P38" i="1"/>
  <c r="R38" i="1" s="1"/>
  <c r="P39" i="1"/>
  <c r="P40" i="1"/>
  <c r="P41" i="1"/>
  <c r="P42" i="1"/>
  <c r="P43" i="1"/>
  <c r="P44" i="1"/>
  <c r="P45" i="1"/>
  <c r="P46" i="1"/>
  <c r="P47" i="1"/>
  <c r="P48" i="1"/>
  <c r="P49" i="1"/>
  <c r="P50" i="1"/>
  <c r="R50" i="1" s="1"/>
  <c r="P51" i="1"/>
  <c r="P52" i="1"/>
  <c r="P53" i="1"/>
  <c r="P54" i="1"/>
  <c r="P55" i="1"/>
  <c r="P56" i="1"/>
  <c r="P57" i="1"/>
  <c r="P58" i="1"/>
  <c r="P59" i="1"/>
  <c r="P60" i="1"/>
  <c r="P61" i="1"/>
  <c r="P62" i="1"/>
  <c r="R62" i="1" s="1"/>
  <c r="P63" i="1"/>
  <c r="P64" i="1"/>
  <c r="P65" i="1"/>
  <c r="P66" i="1"/>
  <c r="P67" i="1"/>
  <c r="P68" i="1"/>
  <c r="P69" i="1"/>
  <c r="P70" i="1"/>
  <c r="P71" i="1"/>
  <c r="P72" i="1"/>
  <c r="P73" i="1"/>
  <c r="P74" i="1"/>
  <c r="R74" i="1" s="1"/>
  <c r="P75" i="1"/>
  <c r="P76" i="1"/>
  <c r="P77" i="1"/>
  <c r="P78" i="1"/>
  <c r="P79" i="1"/>
  <c r="P80" i="1"/>
  <c r="P81" i="1"/>
  <c r="P82" i="1"/>
  <c r="P83" i="1"/>
  <c r="P84" i="1"/>
  <c r="P85" i="1"/>
  <c r="P86" i="1"/>
  <c r="R86" i="1" s="1"/>
  <c r="P87" i="1"/>
  <c r="P88" i="1"/>
  <c r="P89" i="1"/>
  <c r="P90" i="1"/>
  <c r="P91" i="1"/>
  <c r="P92" i="1"/>
  <c r="P93" i="1"/>
  <c r="P94" i="1"/>
  <c r="P95" i="1"/>
  <c r="P96" i="1"/>
  <c r="P97" i="1"/>
  <c r="P98" i="1"/>
  <c r="R98" i="1" s="1"/>
  <c r="P99" i="1"/>
  <c r="P100" i="1"/>
  <c r="P101" i="1"/>
  <c r="P102" i="1"/>
  <c r="P103" i="1"/>
  <c r="P104" i="1"/>
  <c r="P105" i="1"/>
  <c r="P106" i="1"/>
  <c r="P107" i="1"/>
  <c r="P108" i="1"/>
  <c r="P109" i="1"/>
  <c r="R109" i="1" s="1"/>
  <c r="P110" i="1"/>
  <c r="R110" i="1" s="1"/>
  <c r="P111" i="1"/>
  <c r="P112" i="1"/>
  <c r="P113" i="1"/>
  <c r="P114" i="1"/>
  <c r="P115" i="1"/>
  <c r="P116" i="1"/>
  <c r="P117" i="1"/>
  <c r="P118" i="1"/>
  <c r="P119" i="1"/>
  <c r="P120" i="1"/>
  <c r="P121" i="1"/>
  <c r="R121" i="1" s="1"/>
  <c r="P122" i="1"/>
  <c r="R122" i="1" s="1"/>
  <c r="P123" i="1"/>
  <c r="P124" i="1"/>
  <c r="P125" i="1"/>
  <c r="P126" i="1"/>
  <c r="P127" i="1"/>
  <c r="P128" i="1"/>
  <c r="P129" i="1"/>
  <c r="P130" i="1"/>
  <c r="P131" i="1"/>
  <c r="P132" i="1"/>
  <c r="P133" i="1"/>
  <c r="P134" i="1"/>
  <c r="R134" i="1" s="1"/>
  <c r="P135" i="1"/>
  <c r="P136" i="1"/>
  <c r="P137" i="1"/>
  <c r="P138" i="1"/>
  <c r="P139" i="1"/>
  <c r="P140" i="1"/>
  <c r="P141" i="1"/>
  <c r="P142" i="1"/>
  <c r="P143" i="1"/>
  <c r="P144" i="1"/>
  <c r="P145" i="1"/>
  <c r="P146" i="1"/>
  <c r="R146" i="1" s="1"/>
  <c r="P147" i="1"/>
  <c r="P148" i="1"/>
  <c r="P149" i="1"/>
  <c r="P150" i="1"/>
  <c r="P151" i="1"/>
  <c r="P152" i="1"/>
  <c r="P153" i="1"/>
  <c r="P154" i="1"/>
  <c r="P155" i="1"/>
  <c r="P156" i="1"/>
  <c r="P157" i="1"/>
  <c r="R157" i="1" s="1"/>
  <c r="P158" i="1"/>
  <c r="R158" i="1" s="1"/>
  <c r="P159" i="1"/>
  <c r="P160" i="1"/>
  <c r="P161" i="1"/>
  <c r="P162" i="1"/>
  <c r="P163" i="1"/>
  <c r="P164" i="1"/>
  <c r="P165" i="1"/>
  <c r="P166" i="1"/>
  <c r="P167" i="1"/>
  <c r="P168" i="1"/>
  <c r="P169" i="1"/>
  <c r="R169" i="1" s="1"/>
  <c r="P170" i="1"/>
  <c r="R170" i="1" s="1"/>
  <c r="P171" i="1"/>
  <c r="P172" i="1"/>
  <c r="P173" i="1"/>
  <c r="P174" i="1"/>
  <c r="P175" i="1"/>
  <c r="P176" i="1"/>
  <c r="P177" i="1"/>
  <c r="P178" i="1"/>
  <c r="P179" i="1"/>
  <c r="P180" i="1"/>
  <c r="P181" i="1"/>
  <c r="P182" i="1"/>
  <c r="R182" i="1" s="1"/>
  <c r="P183" i="1"/>
  <c r="P184" i="1"/>
  <c r="P185" i="1"/>
  <c r="P186" i="1"/>
  <c r="P187" i="1"/>
  <c r="P188" i="1"/>
  <c r="P189" i="1"/>
  <c r="P190" i="1"/>
  <c r="P191" i="1"/>
  <c r="P192" i="1"/>
  <c r="P193" i="1"/>
  <c r="P194" i="1"/>
  <c r="R194" i="1" s="1"/>
  <c r="P195" i="1"/>
  <c r="P196" i="1"/>
  <c r="P197" i="1"/>
  <c r="P198" i="1"/>
  <c r="P199" i="1"/>
  <c r="P200" i="1"/>
  <c r="P201" i="1"/>
  <c r="P202" i="1"/>
  <c r="P203" i="1"/>
  <c r="P204" i="1"/>
  <c r="R204" i="1" s="1"/>
  <c r="P205" i="1"/>
  <c r="P206" i="1"/>
  <c r="R206" i="1" s="1"/>
  <c r="P207" i="1"/>
  <c r="R207" i="1" s="1"/>
  <c r="P208" i="1"/>
  <c r="P209" i="1"/>
  <c r="P210" i="1"/>
  <c r="P211" i="1"/>
  <c r="P212" i="1"/>
  <c r="P213" i="1"/>
  <c r="P214" i="1"/>
  <c r="P215" i="1"/>
  <c r="P216" i="1"/>
  <c r="P217" i="1"/>
  <c r="P218" i="1"/>
  <c r="R218" i="1" s="1"/>
  <c r="P219" i="1"/>
  <c r="P220" i="1"/>
  <c r="P221" i="1"/>
  <c r="P222" i="1"/>
  <c r="P223" i="1"/>
  <c r="P224" i="1"/>
  <c r="P225" i="1"/>
  <c r="P226" i="1"/>
  <c r="P227" i="1"/>
  <c r="P228" i="1"/>
  <c r="R228" i="1" s="1"/>
  <c r="P229" i="1"/>
  <c r="P230" i="1"/>
  <c r="R230" i="1" s="1"/>
  <c r="P231" i="1"/>
  <c r="R231" i="1" s="1"/>
  <c r="P232" i="1"/>
  <c r="P233" i="1"/>
  <c r="P234" i="1"/>
  <c r="P235" i="1"/>
  <c r="P236" i="1"/>
  <c r="P237" i="1"/>
  <c r="P238" i="1"/>
  <c r="P239" i="1"/>
  <c r="R239" i="1" s="1"/>
  <c r="P240" i="1"/>
  <c r="P241" i="1"/>
  <c r="R241" i="1" s="1"/>
  <c r="P242" i="1"/>
  <c r="R242" i="1" s="1"/>
  <c r="P243" i="1"/>
  <c r="P244" i="1"/>
  <c r="P245" i="1"/>
  <c r="P24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" i="1"/>
  <c r="R216" i="1"/>
  <c r="R237" i="1"/>
  <c r="R243" i="1"/>
  <c r="R245" i="1"/>
  <c r="R219" i="1"/>
  <c r="R221" i="1"/>
  <c r="R225" i="1"/>
  <c r="R227" i="1"/>
  <c r="R229" i="1"/>
  <c r="R205" i="1"/>
  <c r="R208" i="1"/>
  <c r="R211" i="1"/>
  <c r="R214" i="1"/>
  <c r="R217" i="1"/>
  <c r="R165" i="1"/>
  <c r="R167" i="1"/>
  <c r="R172" i="1"/>
  <c r="R180" i="1"/>
  <c r="R151" i="1"/>
  <c r="R153" i="1"/>
  <c r="R155" i="1"/>
  <c r="R159" i="1"/>
  <c r="R161" i="1"/>
  <c r="R8" i="1"/>
  <c r="R12" i="1"/>
  <c r="R24" i="1"/>
  <c r="R25" i="1"/>
  <c r="R3" i="1"/>
  <c r="R6" i="1"/>
  <c r="R19" i="1"/>
  <c r="R21" i="1"/>
  <c r="R23" i="1"/>
  <c r="R11" i="1"/>
  <c r="R13" i="1"/>
  <c r="R15" i="1"/>
  <c r="R16" i="1"/>
  <c r="R17" i="1"/>
  <c r="R27" i="1"/>
  <c r="R28" i="1"/>
  <c r="R30" i="1"/>
  <c r="R156" i="1"/>
  <c r="R164" i="1"/>
  <c r="R173" i="1"/>
  <c r="R177" i="1"/>
  <c r="R181" i="1"/>
  <c r="R189" i="1"/>
  <c r="R191" i="1"/>
  <c r="R193" i="1"/>
  <c r="R119" i="1"/>
  <c r="R133" i="1"/>
  <c r="R135" i="1"/>
  <c r="R137" i="1"/>
  <c r="R139" i="1"/>
  <c r="R141" i="1"/>
  <c r="R143" i="1"/>
  <c r="R145" i="1"/>
  <c r="R147" i="1"/>
  <c r="R108" i="1"/>
  <c r="R111" i="1"/>
  <c r="R117" i="1"/>
  <c r="R120" i="1"/>
  <c r="R123" i="1"/>
  <c r="R136" i="1"/>
  <c r="R140" i="1"/>
  <c r="R144" i="1"/>
  <c r="R127" i="1"/>
  <c r="R128" i="1"/>
  <c r="R129" i="1"/>
  <c r="R131" i="1"/>
  <c r="R132" i="1"/>
  <c r="R105" i="1"/>
  <c r="R107" i="1"/>
  <c r="R168" i="1"/>
  <c r="R171" i="1"/>
  <c r="R175" i="1"/>
  <c r="R179" i="1"/>
  <c r="R183" i="1"/>
  <c r="R192" i="1"/>
  <c r="R152" i="1"/>
  <c r="R154" i="1"/>
  <c r="R197" i="1"/>
  <c r="R200" i="1"/>
  <c r="R203" i="1"/>
  <c r="R209" i="1"/>
  <c r="R215" i="1"/>
  <c r="R240" i="1"/>
  <c r="R244" i="1"/>
  <c r="R220" i="1"/>
  <c r="R224" i="1"/>
  <c r="R57" i="1"/>
  <c r="R59" i="1"/>
  <c r="R34" i="1"/>
  <c r="R36" i="1"/>
  <c r="R40" i="1"/>
  <c r="R44" i="1"/>
  <c r="R46" i="1"/>
  <c r="R49" i="1"/>
  <c r="R35" i="1"/>
  <c r="R39" i="1"/>
  <c r="R45" i="1"/>
  <c r="R47" i="1"/>
  <c r="R48" i="1"/>
  <c r="R51" i="1"/>
  <c r="R60" i="1"/>
  <c r="R61" i="1"/>
  <c r="R63" i="1"/>
  <c r="R92" i="1"/>
  <c r="R94" i="1"/>
  <c r="R96" i="1"/>
  <c r="R100" i="1"/>
  <c r="R68" i="1"/>
  <c r="R72" i="1"/>
  <c r="R81" i="1"/>
  <c r="R91" i="1"/>
  <c r="R93" i="1"/>
  <c r="R95" i="1"/>
  <c r="R97" i="1"/>
  <c r="R99" i="1"/>
  <c r="R83" i="1"/>
  <c r="R84" i="1"/>
  <c r="R85" i="1"/>
  <c r="R87" i="1"/>
  <c r="R88" i="1"/>
  <c r="R89" i="1"/>
  <c r="R69" i="1"/>
  <c r="R71" i="1"/>
  <c r="R73" i="1"/>
  <c r="R75" i="1"/>
  <c r="R195" i="1"/>
  <c r="R235" i="1" l="1"/>
  <c r="R223" i="1"/>
  <c r="R163" i="1"/>
  <c r="R210" i="1"/>
  <c r="R54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<sst xmlns="http://schemas.openxmlformats.org/spreadsheetml/2006/main" count="1742" uniqueCount="156">
  <si>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</si>
  <si>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</si>
  <si>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</si>
  <si>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</si>
  <si>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</si>
  <si>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</si>
  <si>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</si>
  <si>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</si>
  <si>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</si>
  <si>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</si>
  <si>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</si>
  <si>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</si>
  <si>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</si>
  <si>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</si>
  <si>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</si>
  <si>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</si>
  <si>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</si>
  <si>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</si>
  <si>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</si>
  <si>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</si>
  <si>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</si>
  <si>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</si>
  <si>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</si>
  <si>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</si>
  <si>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</si>
  <si>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</si>
  <si>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</si>
  <si>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</si>
  <si>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</si>
  <si>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</si>
  <si>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</si>
  <si>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</si>
  <si>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</si>
  <si>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</si>
  <si>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</si>
  <si>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</si>
  <si>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</si>
  <si>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</si>
  <si>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</si>
  <si>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</si>
  <si>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</si>
  <si>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</si>
  <si>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</si>
  <si>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</si>
  <si>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</si>
  <si>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</si>
  <si>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</si>
  <si>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</si>
  <si>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</si>
  <si>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</si>
  <si>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</si>
  <si>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</si>
  <si>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</si>
  <si>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</si>
  <si>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</si>
  <si>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</si>
  <si>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</si>
  <si>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</si>
  <si>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</si>
  <si>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</si>
  <si>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</si>
  <si>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</si>
  <si>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</si>
  <si>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</si>
  <si>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</si>
  <si>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</si>
  <si>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</si>
  <si>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</si>
  <si>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</si>
  <si>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</si>
  <si>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</si>
  <si>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</si>
  <si>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</si>
  <si>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</si>
  <si>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</si>
  <si>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</si>
  <si>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</si>
  <si>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</si>
  <si>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</si>
  <si>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</si>
  <si>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</si>
  <si>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</si>
  <si>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</si>
  <si>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</si>
  <si>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</si>
  <si>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</si>
  <si>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</si>
  <si>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</si>
  <si>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</si>
  <si>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</si>
  <si>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</si>
  <si>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</si>
  <si>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</si>
  <si>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</si>
  <si>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</si>
  <si>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</si>
  <si>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</si>
  <si>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</si>
  <si>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</si>
  <si>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</si>
  <si>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</si>
  <si>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</si>
  <si>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</si>
  <si>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</si>
  <si>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</si>
  <si>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</si>
  <si>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</si>
  <si>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</si>
  <si>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</si>
  <si>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</si>
  <si>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</si>
  <si>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</si>
  <si>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</si>
  <si>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</si>
  <si>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</si>
  <si>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</si>
  <si>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</si>
  <si>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</si>
  <si>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</si>
  <si>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</si>
  <si>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</si>
  <si>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</si>
  <si>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</si>
  <si>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</si>
  <si>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</si>
  <si>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</si>
  <si>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</si>
  <si>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</si>
  <si>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</si>
  <si>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</si>
  <si>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</si>
  <si>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</si>
  <si>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</si>
  <si>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</si>
  <si>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</si>
  <si>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</si>
  <si>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</si>
  <si>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</si>
  <si>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</si>
  <si>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</si>
  <si>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</si>
  <si>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</si>
  <si>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</si>
  <si>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</si>
  <si>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</si>
  <si>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</si>
  <si>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</si>
  <si>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</si>
  <si>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SALES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</si>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</sst>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31D92941-CCFB-44C7-9582-8D8F76230B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2" sqref="B12"/>
    </sheetView>
  </sheetViews>
  <sheetFormatPr defaultRowHeight="14.4" x14ac:dyDescent="0.3"/>
  <cols>
    <col min="1" max="1" width="8.109375" bestFit="1" customWidth="1"/>
    <col min="2" max="3" width="10" bestFit="1" customWidth="1"/>
    <col min="4" max="5" width="9.109375" customWidth="1"/>
    <col min="6" max="6" width="10.109375" hidden="1" customWidth="1"/>
    <col min="7" max="7" width="15.6640625" customWidth="1"/>
    <col min="8" max="8" width="17.109375" customWidth="1"/>
    <col min="9" max="9" width="23.33203125" bestFit="1" customWidth="1"/>
    <col min="10" max="10" width="10.6640625" bestFit="1" customWidth="1"/>
    <col min="11" max="13" width="10.6640625" customWidth="1"/>
    <col min="14" max="14" width="9.33203125" customWidth="1"/>
    <col min="15" max="15" width="13.33203125" bestFit="1" customWidth="1"/>
    <col min="16" max="16" width="12.88671875" customWidth="1"/>
    <col min="17" max="18" width="11" customWidth="1"/>
    <col min="19" max="19" width="13.44140625" hidden="1" customWidth="1"/>
    <col min="20" max="20" width="12.44140625" hidden="1" customWidth="1"/>
    <col min="21" max="21" width="8.44140625" hidden="1" customWidth="1"/>
    <col min="22" max="22" width="10.44140625" hidden="1" customWidth="1"/>
    <col min="23" max="23" width="39.6640625" hidden="1" customWidth="1"/>
    <col min="24" max="24" width="0" hidden="1" customWidth="1"/>
    <col min="25" max="25" width="10.5546875" hidden="1" customWidth="1"/>
  </cols>
  <sheetData>
    <row r="1" spans="1:25" ht="31.5" customHeight="1" x14ac:dyDescent="0.3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3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IF(P2&gt;2000,P2*5%,0)</f>
        <v>120</v>
      </c>
      <c r="R2" s="1">
        <f t="shared" ref="R2:R65" si="0"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3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1">MONTH(J3)</f>
        <v>1</v>
      </c>
      <c r="L3">
        <f t="shared" ref="L3:L66" si="2">YEAR(J3)</f>
        <v>2022</v>
      </c>
      <c r="M3" s="1">
        <v>1460</v>
      </c>
      <c r="N3" s="1">
        <v>2000</v>
      </c>
      <c r="O3">
        <v>2</v>
      </c>
      <c r="P3" s="1">
        <f t="shared" ref="P3:P66" si="3">N3*O3</f>
        <v>4000</v>
      </c>
      <c r="Q3" s="1">
        <f t="shared" ref="Q3:Q66" si="4">IF(P3&gt;2000,P3*5%,0)</f>
        <v>200</v>
      </c>
      <c r="R3" s="1">
        <f t="shared" si="0"/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.6" x14ac:dyDescent="0.3">
      <c r="A4" s="11" t="s">
        <v>147</v>
      </c>
      <c r="B4" s="11"/>
      <c r="C4" s="11"/>
      <c r="D4" s="11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1"/>
        <v>1</v>
      </c>
      <c r="L4">
        <f t="shared" si="2"/>
        <v>2022</v>
      </c>
      <c r="M4" s="1">
        <v>840</v>
      </c>
      <c r="N4" s="1">
        <v>1200</v>
      </c>
      <c r="O4">
        <v>2</v>
      </c>
      <c r="P4" s="1">
        <f t="shared" si="3"/>
        <v>2400</v>
      </c>
      <c r="Q4" s="1">
        <f t="shared" si="4"/>
        <v>120</v>
      </c>
      <c r="R4" s="1">
        <f t="shared" si="0"/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ht="28.8" x14ac:dyDescent="0.3">
      <c r="B5" s="9">
        <v>2022</v>
      </c>
      <c r="C5" s="9">
        <v>2023</v>
      </c>
      <c r="D5" s="10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1"/>
        <v>1</v>
      </c>
      <c r="L5">
        <f t="shared" si="2"/>
        <v>2022</v>
      </c>
      <c r="M5" s="1">
        <v>1050</v>
      </c>
      <c r="N5" s="1">
        <v>1500</v>
      </c>
      <c r="O5">
        <v>1</v>
      </c>
      <c r="P5" s="1">
        <f t="shared" si="3"/>
        <v>1500</v>
      </c>
      <c r="Q5" s="1">
        <f t="shared" si="4"/>
        <v>0</v>
      </c>
      <c r="R5" s="1">
        <f t="shared" si="0"/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3">
      <c r="B6" s="5">
        <f>SUMIFS(R2:R246,L2:L246,2022)</f>
        <v>330500</v>
      </c>
      <c r="C6" s="5">
        <f>SUMIFS(R2:R246,L2:L246,2023)</f>
        <v>453830</v>
      </c>
      <c r="D6" s="6">
        <f>(C6-B6)/B6</f>
        <v>0.37316187594553707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1"/>
        <v>1</v>
      </c>
      <c r="L6">
        <f t="shared" si="2"/>
        <v>2022</v>
      </c>
      <c r="M6" s="1">
        <v>1825</v>
      </c>
      <c r="N6" s="1">
        <v>2500</v>
      </c>
      <c r="O6">
        <v>1</v>
      </c>
      <c r="P6" s="1">
        <f t="shared" si="3"/>
        <v>2500</v>
      </c>
      <c r="Q6" s="1">
        <f t="shared" si="4"/>
        <v>125</v>
      </c>
      <c r="R6" s="1">
        <f t="shared" si="0"/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3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1"/>
        <v>1</v>
      </c>
      <c r="L7">
        <f t="shared" si="2"/>
        <v>2022</v>
      </c>
      <c r="M7" s="1">
        <v>1050</v>
      </c>
      <c r="N7" s="1">
        <v>1500</v>
      </c>
      <c r="O7">
        <v>1</v>
      </c>
      <c r="P7" s="1">
        <f t="shared" si="3"/>
        <v>1500</v>
      </c>
      <c r="Q7" s="1">
        <f t="shared" si="4"/>
        <v>0</v>
      </c>
      <c r="R7" s="1">
        <f t="shared" si="0"/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3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1"/>
        <v>1</v>
      </c>
      <c r="L8">
        <f t="shared" si="2"/>
        <v>2022</v>
      </c>
      <c r="M8" s="1">
        <v>1260</v>
      </c>
      <c r="N8" s="1">
        <v>1800</v>
      </c>
      <c r="O8">
        <v>3</v>
      </c>
      <c r="P8" s="1">
        <f t="shared" si="3"/>
        <v>5400</v>
      </c>
      <c r="Q8" s="1">
        <f t="shared" si="4"/>
        <v>270</v>
      </c>
      <c r="R8" s="1">
        <f t="shared" si="0"/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3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1"/>
        <v>1</v>
      </c>
      <c r="L9">
        <f t="shared" si="2"/>
        <v>2022</v>
      </c>
      <c r="M9" s="1">
        <v>1260</v>
      </c>
      <c r="N9" s="1">
        <v>1800</v>
      </c>
      <c r="O9">
        <v>3</v>
      </c>
      <c r="P9" s="1">
        <f t="shared" si="3"/>
        <v>5400</v>
      </c>
      <c r="Q9" s="1">
        <f t="shared" si="4"/>
        <v>270</v>
      </c>
      <c r="R9" s="1">
        <f t="shared" si="0"/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.6" x14ac:dyDescent="0.3">
      <c r="A10" s="11" t="s">
        <v>148</v>
      </c>
      <c r="B10" s="11"/>
      <c r="C10" s="11"/>
      <c r="D10" s="11"/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1"/>
        <v>1</v>
      </c>
      <c r="L10">
        <f t="shared" si="2"/>
        <v>2022</v>
      </c>
      <c r="M10" s="1">
        <v>1470</v>
      </c>
      <c r="N10" s="1">
        <v>2100</v>
      </c>
      <c r="O10">
        <v>1</v>
      </c>
      <c r="P10" s="1">
        <f t="shared" si="3"/>
        <v>2100</v>
      </c>
      <c r="Q10" s="1">
        <f t="shared" si="4"/>
        <v>105</v>
      </c>
      <c r="R10" s="1">
        <f t="shared" si="0"/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ht="28.8" x14ac:dyDescent="0.3">
      <c r="B11" s="9">
        <v>2022</v>
      </c>
      <c r="C11" s="9">
        <v>2023</v>
      </c>
      <c r="D11" s="10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1"/>
        <v>1</v>
      </c>
      <c r="L11">
        <f t="shared" si="2"/>
        <v>2022</v>
      </c>
      <c r="M11" s="1">
        <v>1470</v>
      </c>
      <c r="N11" s="1">
        <v>2100</v>
      </c>
      <c r="O11">
        <v>1</v>
      </c>
      <c r="P11" s="1">
        <f t="shared" si="3"/>
        <v>2100</v>
      </c>
      <c r="Q11" s="1">
        <f t="shared" si="4"/>
        <v>105</v>
      </c>
      <c r="R11" s="1">
        <f t="shared" si="0"/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3">
      <c r="A12" t="s">
        <v>53</v>
      </c>
      <c r="B12" s="5">
        <f>SUMIFS($R$2:$R$246,$K$2:$K$246,1,$L$2:$L$246,2022)</f>
        <v>101595</v>
      </c>
      <c r="C12" s="5">
        <f>SUMIFS($R$2:$R$246,$K$2:$K$246,1,$L$2:$L$246,2023)</f>
        <v>143555</v>
      </c>
      <c r="D12" s="4">
        <f>(C12-B12)/B12</f>
        <v>0.41301245140016735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1"/>
        <v>1</v>
      </c>
      <c r="L12">
        <f t="shared" si="2"/>
        <v>2022</v>
      </c>
      <c r="M12" s="1">
        <v>896.99999999999989</v>
      </c>
      <c r="N12" s="1">
        <v>1300</v>
      </c>
      <c r="O12">
        <v>2</v>
      </c>
      <c r="P12" s="1">
        <f t="shared" si="3"/>
        <v>2600</v>
      </c>
      <c r="Q12" s="1">
        <f t="shared" si="4"/>
        <v>130</v>
      </c>
      <c r="R12" s="1">
        <f t="shared" si="0"/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3">
      <c r="A13" t="s">
        <v>57</v>
      </c>
      <c r="B13" s="5">
        <f>SUMIFS($R$2:$R$246,$K$2:$K$246,2,$L$2:$L$246,2022)</f>
        <v>113445</v>
      </c>
      <c r="C13" s="5">
        <f>SUMIFS($R$2:$R$246,$K$2:$K$246,2,$L$2:$L$246,2023)</f>
        <v>145535</v>
      </c>
      <c r="D13" s="4">
        <f t="shared" ref="D13:D14" si="5">(C13-B13)/B13</f>
        <v>0.28286835030190843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1"/>
        <v>1</v>
      </c>
      <c r="L13">
        <f t="shared" si="2"/>
        <v>2022</v>
      </c>
      <c r="M13" s="1">
        <v>896.99999999999989</v>
      </c>
      <c r="N13" s="1">
        <v>1300</v>
      </c>
      <c r="O13">
        <v>2</v>
      </c>
      <c r="P13" s="1">
        <f t="shared" si="3"/>
        <v>2600</v>
      </c>
      <c r="Q13" s="1">
        <f t="shared" si="4"/>
        <v>130</v>
      </c>
      <c r="R13" s="1">
        <f t="shared" si="0"/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3">
      <c r="A14" t="s">
        <v>60</v>
      </c>
      <c r="B14" s="5">
        <f>SUMIFS($R$2:$R$246,$K$2:$K$246,3,$L$2:$L$246,2022)</f>
        <v>115460</v>
      </c>
      <c r="C14" s="5">
        <f>SUMIFS($R$2:$R$246,$K$2:$K$246,3,$L$2:$L$246,2023)</f>
        <v>164740</v>
      </c>
      <c r="D14" s="4">
        <f t="shared" si="5"/>
        <v>0.42681448120561233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1"/>
        <v>1</v>
      </c>
      <c r="L14">
        <f t="shared" si="2"/>
        <v>2022</v>
      </c>
      <c r="M14" s="1">
        <v>1104</v>
      </c>
      <c r="N14" s="1">
        <v>1600</v>
      </c>
      <c r="O14">
        <v>1</v>
      </c>
      <c r="P14" s="1">
        <f t="shared" si="3"/>
        <v>1600</v>
      </c>
      <c r="Q14" s="1">
        <f t="shared" si="4"/>
        <v>0</v>
      </c>
      <c r="R14" s="1">
        <f t="shared" si="0"/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3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1"/>
        <v>1</v>
      </c>
      <c r="L15">
        <f t="shared" si="2"/>
        <v>2022</v>
      </c>
      <c r="M15" s="1">
        <v>1104</v>
      </c>
      <c r="N15" s="1">
        <v>1600</v>
      </c>
      <c r="O15">
        <v>1</v>
      </c>
      <c r="P15" s="1">
        <f t="shared" si="3"/>
        <v>1600</v>
      </c>
      <c r="Q15" s="1">
        <f t="shared" si="4"/>
        <v>0</v>
      </c>
      <c r="R15" s="1">
        <f t="shared" si="0"/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3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1"/>
        <v>1</v>
      </c>
      <c r="L16">
        <f t="shared" si="2"/>
        <v>2022</v>
      </c>
      <c r="M16" s="1">
        <v>1496</v>
      </c>
      <c r="N16" s="1">
        <v>2200</v>
      </c>
      <c r="O16">
        <v>2</v>
      </c>
      <c r="P16" s="1">
        <f t="shared" si="3"/>
        <v>4400</v>
      </c>
      <c r="Q16" s="1">
        <f t="shared" si="4"/>
        <v>220</v>
      </c>
      <c r="R16" s="1">
        <f t="shared" si="0"/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3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1"/>
        <v>1</v>
      </c>
      <c r="L17">
        <f t="shared" si="2"/>
        <v>2022</v>
      </c>
      <c r="M17" s="1">
        <v>1700.0000000000002</v>
      </c>
      <c r="N17" s="1">
        <v>2500</v>
      </c>
      <c r="O17">
        <v>1</v>
      </c>
      <c r="P17" s="1">
        <f t="shared" si="3"/>
        <v>2500</v>
      </c>
      <c r="Q17" s="1">
        <f t="shared" si="4"/>
        <v>125</v>
      </c>
      <c r="R17" s="1">
        <f t="shared" si="0"/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3">
      <c r="B18" s="5"/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1"/>
        <v>1</v>
      </c>
      <c r="L18">
        <f t="shared" si="2"/>
        <v>2022</v>
      </c>
      <c r="M18" s="1">
        <v>1292</v>
      </c>
      <c r="N18" s="1">
        <v>1900</v>
      </c>
      <c r="O18">
        <v>3</v>
      </c>
      <c r="P18" s="1">
        <f t="shared" si="3"/>
        <v>5700</v>
      </c>
      <c r="Q18" s="1">
        <f t="shared" si="4"/>
        <v>285</v>
      </c>
      <c r="R18" s="1">
        <f t="shared" si="0"/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3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1"/>
        <v>1</v>
      </c>
      <c r="L19">
        <f t="shared" si="2"/>
        <v>2022</v>
      </c>
      <c r="M19" s="1">
        <v>1496</v>
      </c>
      <c r="N19" s="1">
        <v>2200</v>
      </c>
      <c r="O19">
        <v>1</v>
      </c>
      <c r="P19" s="1">
        <f t="shared" si="3"/>
        <v>2200</v>
      </c>
      <c r="Q19" s="1">
        <f t="shared" si="4"/>
        <v>110</v>
      </c>
      <c r="R19" s="1">
        <f t="shared" si="0"/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3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1"/>
        <v>1</v>
      </c>
      <c r="L20">
        <f t="shared" si="2"/>
        <v>2022</v>
      </c>
      <c r="M20" s="1">
        <v>1340</v>
      </c>
      <c r="N20" s="1">
        <v>2000</v>
      </c>
      <c r="O20">
        <v>2</v>
      </c>
      <c r="P20" s="1">
        <f t="shared" si="3"/>
        <v>4000</v>
      </c>
      <c r="Q20" s="1">
        <f t="shared" si="4"/>
        <v>200</v>
      </c>
      <c r="R20" s="1">
        <f t="shared" si="0"/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3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1"/>
        <v>1</v>
      </c>
      <c r="L21">
        <f t="shared" si="2"/>
        <v>2022</v>
      </c>
      <c r="M21" s="1">
        <v>1340</v>
      </c>
      <c r="N21" s="1">
        <v>2000</v>
      </c>
      <c r="O21">
        <v>2</v>
      </c>
      <c r="P21" s="1">
        <f t="shared" si="3"/>
        <v>4000</v>
      </c>
      <c r="Q21" s="1">
        <f t="shared" si="4"/>
        <v>200</v>
      </c>
      <c r="R21" s="1">
        <f t="shared" si="0"/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3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1"/>
        <v>1</v>
      </c>
      <c r="L22">
        <f t="shared" si="2"/>
        <v>2022</v>
      </c>
      <c r="M22" s="1">
        <v>1541</v>
      </c>
      <c r="N22" s="1">
        <v>2300</v>
      </c>
      <c r="O22">
        <v>1</v>
      </c>
      <c r="P22" s="1">
        <f t="shared" si="3"/>
        <v>2300</v>
      </c>
      <c r="Q22" s="1">
        <f t="shared" si="4"/>
        <v>115</v>
      </c>
      <c r="R22" s="1">
        <f t="shared" si="0"/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3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1"/>
        <v>1</v>
      </c>
      <c r="L23">
        <f t="shared" si="2"/>
        <v>2022</v>
      </c>
      <c r="M23" s="1">
        <v>1541</v>
      </c>
      <c r="N23" s="1">
        <v>2300</v>
      </c>
      <c r="O23">
        <v>1</v>
      </c>
      <c r="P23" s="1">
        <f t="shared" si="3"/>
        <v>2300</v>
      </c>
      <c r="Q23" s="1">
        <f t="shared" si="4"/>
        <v>115</v>
      </c>
      <c r="R23" s="1">
        <f t="shared" si="0"/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3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1"/>
        <v>1</v>
      </c>
      <c r="L24">
        <f t="shared" si="2"/>
        <v>2022</v>
      </c>
      <c r="M24" s="1">
        <v>2250</v>
      </c>
      <c r="N24" s="1">
        <v>3000</v>
      </c>
      <c r="O24">
        <v>2</v>
      </c>
      <c r="P24" s="1">
        <f t="shared" si="3"/>
        <v>6000</v>
      </c>
      <c r="Q24" s="1">
        <f t="shared" si="4"/>
        <v>300</v>
      </c>
      <c r="R24" s="1">
        <f t="shared" si="0"/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3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1"/>
        <v>1</v>
      </c>
      <c r="L25">
        <f t="shared" si="2"/>
        <v>2022</v>
      </c>
      <c r="M25" s="1">
        <v>2625</v>
      </c>
      <c r="N25" s="1">
        <v>3500</v>
      </c>
      <c r="O25">
        <v>1</v>
      </c>
      <c r="P25" s="1">
        <f t="shared" si="3"/>
        <v>3500</v>
      </c>
      <c r="Q25" s="1">
        <f t="shared" si="4"/>
        <v>175</v>
      </c>
      <c r="R25" s="1">
        <f t="shared" si="0"/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3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1"/>
        <v>1</v>
      </c>
      <c r="L26">
        <f t="shared" si="2"/>
        <v>2022</v>
      </c>
      <c r="M26" s="1">
        <v>737</v>
      </c>
      <c r="N26" s="1">
        <v>1100</v>
      </c>
      <c r="O26">
        <v>2</v>
      </c>
      <c r="P26" s="1">
        <f t="shared" si="3"/>
        <v>2200</v>
      </c>
      <c r="Q26" s="1">
        <f t="shared" si="4"/>
        <v>110</v>
      </c>
      <c r="R26" s="1">
        <f t="shared" si="0"/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3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1"/>
        <v>1</v>
      </c>
      <c r="L27">
        <f t="shared" si="2"/>
        <v>2022</v>
      </c>
      <c r="M27" s="1">
        <v>938</v>
      </c>
      <c r="N27" s="1">
        <v>1400</v>
      </c>
      <c r="O27">
        <v>1</v>
      </c>
      <c r="P27" s="1">
        <f t="shared" si="3"/>
        <v>1400</v>
      </c>
      <c r="Q27" s="1">
        <f t="shared" si="4"/>
        <v>0</v>
      </c>
      <c r="R27" s="1">
        <f t="shared" si="0"/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3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1"/>
        <v>1</v>
      </c>
      <c r="L28">
        <f t="shared" si="2"/>
        <v>2022</v>
      </c>
      <c r="M28" s="1">
        <v>1190</v>
      </c>
      <c r="N28" s="1">
        <v>1700</v>
      </c>
      <c r="O28">
        <v>3</v>
      </c>
      <c r="P28" s="1">
        <f t="shared" si="3"/>
        <v>5100</v>
      </c>
      <c r="Q28" s="1">
        <f t="shared" si="4"/>
        <v>255</v>
      </c>
      <c r="R28" s="1">
        <f t="shared" si="0"/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3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1"/>
        <v>1</v>
      </c>
      <c r="L29">
        <f t="shared" si="2"/>
        <v>2022</v>
      </c>
      <c r="M29" s="1">
        <v>1400</v>
      </c>
      <c r="N29" s="1">
        <v>2000</v>
      </c>
      <c r="O29">
        <v>1</v>
      </c>
      <c r="P29" s="1">
        <f t="shared" si="3"/>
        <v>2000</v>
      </c>
      <c r="Q29" s="1">
        <f t="shared" si="4"/>
        <v>0</v>
      </c>
      <c r="R29" s="1">
        <f t="shared" si="0"/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3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1"/>
        <v>1</v>
      </c>
      <c r="L30">
        <f t="shared" si="2"/>
        <v>2022</v>
      </c>
      <c r="M30" s="1">
        <v>975</v>
      </c>
      <c r="N30" s="1">
        <v>1500</v>
      </c>
      <c r="O30">
        <v>2</v>
      </c>
      <c r="P30" s="1">
        <f t="shared" si="3"/>
        <v>3000</v>
      </c>
      <c r="Q30" s="1">
        <f t="shared" si="4"/>
        <v>150</v>
      </c>
      <c r="R30" s="1">
        <f t="shared" si="0"/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3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1"/>
        <v>1</v>
      </c>
      <c r="L31">
        <f t="shared" si="2"/>
        <v>2022</v>
      </c>
      <c r="M31" s="1">
        <v>1170</v>
      </c>
      <c r="N31" s="1">
        <v>1800</v>
      </c>
      <c r="O31">
        <v>1</v>
      </c>
      <c r="P31" s="1">
        <f t="shared" si="3"/>
        <v>1800</v>
      </c>
      <c r="Q31" s="1">
        <f t="shared" si="4"/>
        <v>0</v>
      </c>
      <c r="R31" s="1">
        <f t="shared" si="0"/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3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1"/>
        <v>1</v>
      </c>
      <c r="L32">
        <f t="shared" si="2"/>
        <v>2022</v>
      </c>
      <c r="M32" s="1">
        <v>1656</v>
      </c>
      <c r="N32" s="1">
        <v>2300</v>
      </c>
      <c r="O32">
        <v>2</v>
      </c>
      <c r="P32" s="1">
        <f t="shared" si="3"/>
        <v>4600</v>
      </c>
      <c r="Q32" s="1">
        <f t="shared" si="4"/>
        <v>230</v>
      </c>
      <c r="R32" s="1">
        <f t="shared" si="0"/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3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1"/>
        <v>1</v>
      </c>
      <c r="L33">
        <f t="shared" si="2"/>
        <v>2022</v>
      </c>
      <c r="M33" s="1">
        <v>1872</v>
      </c>
      <c r="N33" s="1">
        <v>2600</v>
      </c>
      <c r="O33">
        <v>1</v>
      </c>
      <c r="P33" s="1">
        <f t="shared" si="3"/>
        <v>2600</v>
      </c>
      <c r="Q33" s="1">
        <f t="shared" si="4"/>
        <v>130</v>
      </c>
      <c r="R33" s="1">
        <f t="shared" si="0"/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3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1"/>
        <v>2</v>
      </c>
      <c r="L34">
        <f t="shared" si="2"/>
        <v>2022</v>
      </c>
      <c r="M34" s="1">
        <v>1460</v>
      </c>
      <c r="N34" s="1">
        <v>2000</v>
      </c>
      <c r="O34">
        <v>2</v>
      </c>
      <c r="P34" s="1">
        <f t="shared" si="3"/>
        <v>4000</v>
      </c>
      <c r="Q34" s="1">
        <f t="shared" si="4"/>
        <v>200</v>
      </c>
      <c r="R34" s="1">
        <f t="shared" si="0"/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3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1"/>
        <v>2</v>
      </c>
      <c r="L35">
        <f t="shared" si="2"/>
        <v>2022</v>
      </c>
      <c r="M35" s="1">
        <v>840</v>
      </c>
      <c r="N35" s="1">
        <v>1200</v>
      </c>
      <c r="O35">
        <v>2</v>
      </c>
      <c r="P35" s="1">
        <f t="shared" si="3"/>
        <v>2400</v>
      </c>
      <c r="Q35" s="1">
        <f t="shared" si="4"/>
        <v>120</v>
      </c>
      <c r="R35" s="1">
        <f t="shared" si="0"/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3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1"/>
        <v>2</v>
      </c>
      <c r="L36">
        <f t="shared" si="2"/>
        <v>2022</v>
      </c>
      <c r="M36" s="1">
        <v>1825</v>
      </c>
      <c r="N36" s="1">
        <v>2500</v>
      </c>
      <c r="O36">
        <v>1</v>
      </c>
      <c r="P36" s="1">
        <f t="shared" si="3"/>
        <v>2500</v>
      </c>
      <c r="Q36" s="1">
        <f t="shared" si="4"/>
        <v>125</v>
      </c>
      <c r="R36" s="1">
        <f t="shared" si="0"/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3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1"/>
        <v>2</v>
      </c>
      <c r="L37">
        <f t="shared" si="2"/>
        <v>2022</v>
      </c>
      <c r="M37" s="1">
        <v>1050</v>
      </c>
      <c r="N37" s="1">
        <v>1500</v>
      </c>
      <c r="O37">
        <v>1</v>
      </c>
      <c r="P37" s="1">
        <f t="shared" si="3"/>
        <v>1500</v>
      </c>
      <c r="Q37" s="1">
        <f t="shared" si="4"/>
        <v>0</v>
      </c>
      <c r="R37" s="1">
        <f t="shared" si="0"/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3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1"/>
        <v>2</v>
      </c>
      <c r="L38">
        <f t="shared" si="2"/>
        <v>2022</v>
      </c>
      <c r="M38" s="1">
        <v>1105</v>
      </c>
      <c r="N38" s="1">
        <v>1700</v>
      </c>
      <c r="O38">
        <v>3</v>
      </c>
      <c r="P38" s="1">
        <f t="shared" si="3"/>
        <v>5100</v>
      </c>
      <c r="Q38" s="1">
        <f t="shared" si="4"/>
        <v>255</v>
      </c>
      <c r="R38" s="1">
        <f t="shared" si="0"/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3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1"/>
        <v>2</v>
      </c>
      <c r="L39">
        <f t="shared" si="2"/>
        <v>2022</v>
      </c>
      <c r="M39" s="1">
        <v>1260</v>
      </c>
      <c r="N39" s="1">
        <v>1800</v>
      </c>
      <c r="O39">
        <v>3</v>
      </c>
      <c r="P39" s="1">
        <f t="shared" si="3"/>
        <v>5400</v>
      </c>
      <c r="Q39" s="1">
        <f t="shared" si="4"/>
        <v>270</v>
      </c>
      <c r="R39" s="1">
        <f t="shared" si="0"/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3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1"/>
        <v>2</v>
      </c>
      <c r="L40">
        <f t="shared" si="2"/>
        <v>2022</v>
      </c>
      <c r="M40" s="1">
        <v>1365</v>
      </c>
      <c r="N40" s="1">
        <v>2100</v>
      </c>
      <c r="O40">
        <v>1</v>
      </c>
      <c r="P40" s="1">
        <f t="shared" si="3"/>
        <v>2100</v>
      </c>
      <c r="Q40" s="1">
        <f t="shared" si="4"/>
        <v>105</v>
      </c>
      <c r="R40" s="1">
        <f t="shared" si="0"/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3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1"/>
        <v>2</v>
      </c>
      <c r="L41">
        <f t="shared" si="2"/>
        <v>2022</v>
      </c>
      <c r="M41" s="1">
        <v>1470</v>
      </c>
      <c r="N41" s="1">
        <v>2100</v>
      </c>
      <c r="O41">
        <v>1</v>
      </c>
      <c r="P41" s="1">
        <f t="shared" si="3"/>
        <v>2100</v>
      </c>
      <c r="Q41" s="1">
        <f t="shared" si="4"/>
        <v>105</v>
      </c>
      <c r="R41" s="1">
        <f t="shared" si="0"/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3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1"/>
        <v>2</v>
      </c>
      <c r="L42">
        <f t="shared" si="2"/>
        <v>2022</v>
      </c>
      <c r="M42" s="1">
        <v>1035</v>
      </c>
      <c r="N42" s="1">
        <v>1500</v>
      </c>
      <c r="O42">
        <v>2</v>
      </c>
      <c r="P42" s="1">
        <f t="shared" si="3"/>
        <v>3000</v>
      </c>
      <c r="Q42" s="1">
        <f t="shared" si="4"/>
        <v>150</v>
      </c>
      <c r="R42" s="1">
        <f t="shared" si="0"/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3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1"/>
        <v>2</v>
      </c>
      <c r="L43">
        <f t="shared" si="2"/>
        <v>2022</v>
      </c>
      <c r="M43" s="1">
        <v>896.99999999999989</v>
      </c>
      <c r="N43" s="1">
        <v>1300</v>
      </c>
      <c r="O43">
        <v>2</v>
      </c>
      <c r="P43" s="1">
        <f t="shared" si="3"/>
        <v>2600</v>
      </c>
      <c r="Q43" s="1">
        <f t="shared" si="4"/>
        <v>130</v>
      </c>
      <c r="R43" s="1">
        <f t="shared" si="0"/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3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1"/>
        <v>2</v>
      </c>
      <c r="L44">
        <f t="shared" si="2"/>
        <v>2022</v>
      </c>
      <c r="M44" s="1">
        <v>1242</v>
      </c>
      <c r="N44" s="1">
        <v>1800</v>
      </c>
      <c r="O44">
        <v>1</v>
      </c>
      <c r="P44" s="1">
        <f t="shared" si="3"/>
        <v>1800</v>
      </c>
      <c r="Q44" s="1">
        <f t="shared" si="4"/>
        <v>0</v>
      </c>
      <c r="R44" s="1">
        <f t="shared" si="0"/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3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1"/>
        <v>2</v>
      </c>
      <c r="L45">
        <f t="shared" si="2"/>
        <v>2022</v>
      </c>
      <c r="M45" s="1">
        <v>1104</v>
      </c>
      <c r="N45" s="1">
        <v>1600</v>
      </c>
      <c r="O45">
        <v>1</v>
      </c>
      <c r="P45" s="1">
        <f t="shared" si="3"/>
        <v>1600</v>
      </c>
      <c r="Q45" s="1">
        <f t="shared" si="4"/>
        <v>0</v>
      </c>
      <c r="R45" s="1">
        <f t="shared" si="0"/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3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1"/>
        <v>2</v>
      </c>
      <c r="L46">
        <f t="shared" si="2"/>
        <v>2022</v>
      </c>
      <c r="M46" s="1">
        <v>2080</v>
      </c>
      <c r="N46" s="1">
        <v>3200</v>
      </c>
      <c r="O46">
        <v>2</v>
      </c>
      <c r="P46" s="1">
        <f t="shared" si="3"/>
        <v>6400</v>
      </c>
      <c r="Q46" s="1">
        <f t="shared" si="4"/>
        <v>320</v>
      </c>
      <c r="R46" s="1">
        <f t="shared" si="0"/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3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1"/>
        <v>2</v>
      </c>
      <c r="L47">
        <f t="shared" si="2"/>
        <v>2022</v>
      </c>
      <c r="M47" s="1">
        <v>1496</v>
      </c>
      <c r="N47" s="1">
        <v>2200</v>
      </c>
      <c r="O47">
        <v>2</v>
      </c>
      <c r="P47" s="1">
        <f t="shared" si="3"/>
        <v>4400</v>
      </c>
      <c r="Q47" s="1">
        <f t="shared" si="4"/>
        <v>220</v>
      </c>
      <c r="R47" s="1">
        <f t="shared" si="0"/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3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1"/>
        <v>2</v>
      </c>
      <c r="L48">
        <f t="shared" si="2"/>
        <v>2022</v>
      </c>
      <c r="M48" s="1">
        <v>1496</v>
      </c>
      <c r="N48" s="1">
        <v>2200</v>
      </c>
      <c r="O48">
        <v>2</v>
      </c>
      <c r="P48" s="1">
        <f t="shared" si="3"/>
        <v>4400</v>
      </c>
      <c r="Q48" s="1">
        <f t="shared" si="4"/>
        <v>220</v>
      </c>
      <c r="R48" s="1">
        <f t="shared" si="0"/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3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1"/>
        <v>2</v>
      </c>
      <c r="L49">
        <f t="shared" si="2"/>
        <v>2022</v>
      </c>
      <c r="M49" s="1">
        <v>2405</v>
      </c>
      <c r="N49" s="1">
        <v>3700</v>
      </c>
      <c r="O49">
        <v>1</v>
      </c>
      <c r="P49" s="1">
        <f t="shared" si="3"/>
        <v>3700</v>
      </c>
      <c r="Q49" s="1">
        <f t="shared" si="4"/>
        <v>185</v>
      </c>
      <c r="R49" s="1">
        <f t="shared" si="0"/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3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1"/>
        <v>2</v>
      </c>
      <c r="L50">
        <f t="shared" si="2"/>
        <v>2022</v>
      </c>
      <c r="M50" s="1">
        <v>1700.0000000000002</v>
      </c>
      <c r="N50" s="1">
        <v>2500</v>
      </c>
      <c r="O50">
        <v>1</v>
      </c>
      <c r="P50" s="1">
        <f t="shared" si="3"/>
        <v>2500</v>
      </c>
      <c r="Q50" s="1">
        <f t="shared" si="4"/>
        <v>125</v>
      </c>
      <c r="R50" s="1">
        <f t="shared" si="0"/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3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1"/>
        <v>2</v>
      </c>
      <c r="L51">
        <f t="shared" si="2"/>
        <v>2022</v>
      </c>
      <c r="M51" s="1">
        <v>1700.0000000000002</v>
      </c>
      <c r="N51" s="1">
        <v>2500</v>
      </c>
      <c r="O51">
        <v>1</v>
      </c>
      <c r="P51" s="1">
        <f t="shared" si="3"/>
        <v>2500</v>
      </c>
      <c r="Q51" s="1">
        <f t="shared" si="4"/>
        <v>125</v>
      </c>
      <c r="R51" s="1">
        <f t="shared" si="0"/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3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1"/>
        <v>2</v>
      </c>
      <c r="L52">
        <f t="shared" si="2"/>
        <v>2022</v>
      </c>
      <c r="M52" s="1">
        <v>780</v>
      </c>
      <c r="N52" s="1">
        <v>1300</v>
      </c>
      <c r="O52">
        <v>2</v>
      </c>
      <c r="P52" s="1">
        <f t="shared" si="3"/>
        <v>2600</v>
      </c>
      <c r="Q52" s="1">
        <f t="shared" si="4"/>
        <v>130</v>
      </c>
      <c r="R52" s="1">
        <f t="shared" si="0"/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3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1"/>
        <v>2</v>
      </c>
      <c r="L53">
        <f t="shared" si="2"/>
        <v>2022</v>
      </c>
      <c r="M53" s="1">
        <v>960</v>
      </c>
      <c r="N53" s="1">
        <v>1600</v>
      </c>
      <c r="O53">
        <v>1</v>
      </c>
      <c r="P53" s="1">
        <f t="shared" si="3"/>
        <v>1600</v>
      </c>
      <c r="Q53" s="1">
        <f t="shared" si="4"/>
        <v>0</v>
      </c>
      <c r="R53" s="1">
        <f t="shared" si="0"/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3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1"/>
        <v>2</v>
      </c>
      <c r="L54">
        <f t="shared" si="2"/>
        <v>2022</v>
      </c>
      <c r="M54" s="1">
        <v>1292</v>
      </c>
      <c r="N54" s="1">
        <v>1900</v>
      </c>
      <c r="O54">
        <v>3</v>
      </c>
      <c r="P54" s="1">
        <f t="shared" si="3"/>
        <v>5700</v>
      </c>
      <c r="Q54" s="1">
        <f t="shared" si="4"/>
        <v>285</v>
      </c>
      <c r="R54" s="1">
        <f t="shared" si="0"/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3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1"/>
        <v>2</v>
      </c>
      <c r="L55">
        <f t="shared" si="2"/>
        <v>2022</v>
      </c>
      <c r="M55" s="1">
        <v>1496</v>
      </c>
      <c r="N55" s="1">
        <v>2200</v>
      </c>
      <c r="O55">
        <v>1</v>
      </c>
      <c r="P55" s="1">
        <f t="shared" si="3"/>
        <v>2200</v>
      </c>
      <c r="Q55" s="1">
        <f t="shared" si="4"/>
        <v>110</v>
      </c>
      <c r="R55" s="1">
        <f t="shared" si="0"/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3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1"/>
        <v>2</v>
      </c>
      <c r="L56">
        <f t="shared" si="2"/>
        <v>2022</v>
      </c>
      <c r="M56" s="1">
        <v>1340</v>
      </c>
      <c r="N56" s="1">
        <v>2000</v>
      </c>
      <c r="O56">
        <v>2</v>
      </c>
      <c r="P56" s="1">
        <f t="shared" si="3"/>
        <v>4000</v>
      </c>
      <c r="Q56" s="1">
        <f t="shared" si="4"/>
        <v>200</v>
      </c>
      <c r="R56" s="1">
        <f t="shared" si="0"/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3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1"/>
        <v>2</v>
      </c>
      <c r="L57">
        <f t="shared" si="2"/>
        <v>2022</v>
      </c>
      <c r="M57" s="1">
        <v>1541</v>
      </c>
      <c r="N57" s="1">
        <v>2300</v>
      </c>
      <c r="O57">
        <v>1</v>
      </c>
      <c r="P57" s="1">
        <f t="shared" si="3"/>
        <v>2300</v>
      </c>
      <c r="Q57" s="1">
        <f t="shared" si="4"/>
        <v>115</v>
      </c>
      <c r="R57" s="1">
        <f t="shared" si="0"/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3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1"/>
        <v>2</v>
      </c>
      <c r="L58">
        <f t="shared" si="2"/>
        <v>2022</v>
      </c>
      <c r="M58" s="1">
        <v>2250</v>
      </c>
      <c r="N58" s="1">
        <v>3000</v>
      </c>
      <c r="O58">
        <v>2</v>
      </c>
      <c r="P58" s="1">
        <f t="shared" si="3"/>
        <v>6000</v>
      </c>
      <c r="Q58" s="1">
        <f t="shared" si="4"/>
        <v>300</v>
      </c>
      <c r="R58" s="1">
        <f t="shared" si="0"/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3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1"/>
        <v>2</v>
      </c>
      <c r="L59">
        <f t="shared" si="2"/>
        <v>2022</v>
      </c>
      <c r="M59" s="1">
        <v>2625</v>
      </c>
      <c r="N59" s="1">
        <v>3500</v>
      </c>
      <c r="O59">
        <v>1</v>
      </c>
      <c r="P59" s="1">
        <f t="shared" si="3"/>
        <v>3500</v>
      </c>
      <c r="Q59" s="1">
        <f t="shared" si="4"/>
        <v>175</v>
      </c>
      <c r="R59" s="1">
        <f t="shared" si="0"/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3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1"/>
        <v>2</v>
      </c>
      <c r="L60">
        <f t="shared" si="2"/>
        <v>2022</v>
      </c>
      <c r="M60" s="1">
        <v>737</v>
      </c>
      <c r="N60" s="1">
        <v>1100</v>
      </c>
      <c r="O60">
        <v>2</v>
      </c>
      <c r="P60" s="1">
        <f t="shared" si="3"/>
        <v>2200</v>
      </c>
      <c r="Q60" s="1">
        <f t="shared" si="4"/>
        <v>110</v>
      </c>
      <c r="R60" s="1">
        <f t="shared" si="0"/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3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1"/>
        <v>2</v>
      </c>
      <c r="L61">
        <f t="shared" si="2"/>
        <v>2022</v>
      </c>
      <c r="M61" s="1">
        <v>938</v>
      </c>
      <c r="N61" s="1">
        <v>1400</v>
      </c>
      <c r="O61">
        <v>1</v>
      </c>
      <c r="P61" s="1">
        <f t="shared" si="3"/>
        <v>1400</v>
      </c>
      <c r="Q61" s="1">
        <f t="shared" si="4"/>
        <v>0</v>
      </c>
      <c r="R61" s="1">
        <f t="shared" si="0"/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3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1"/>
        <v>2</v>
      </c>
      <c r="L62">
        <f t="shared" si="2"/>
        <v>2022</v>
      </c>
      <c r="M62" s="1">
        <v>1190</v>
      </c>
      <c r="N62" s="1">
        <v>1700</v>
      </c>
      <c r="O62">
        <v>3</v>
      </c>
      <c r="P62" s="1">
        <f t="shared" si="3"/>
        <v>5100</v>
      </c>
      <c r="Q62" s="1">
        <f t="shared" si="4"/>
        <v>255</v>
      </c>
      <c r="R62" s="1">
        <f t="shared" si="0"/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3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1"/>
        <v>2</v>
      </c>
      <c r="L63">
        <f t="shared" si="2"/>
        <v>2022</v>
      </c>
      <c r="M63" s="1">
        <v>1400</v>
      </c>
      <c r="N63" s="1">
        <v>2000</v>
      </c>
      <c r="O63">
        <v>1</v>
      </c>
      <c r="P63" s="1">
        <f t="shared" si="3"/>
        <v>2000</v>
      </c>
      <c r="Q63" s="1">
        <f t="shared" si="4"/>
        <v>0</v>
      </c>
      <c r="R63" s="1">
        <f t="shared" si="0"/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3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1"/>
        <v>2</v>
      </c>
      <c r="L64">
        <f t="shared" si="2"/>
        <v>2022</v>
      </c>
      <c r="M64" s="1">
        <v>975</v>
      </c>
      <c r="N64" s="1">
        <v>1500</v>
      </c>
      <c r="O64">
        <v>2</v>
      </c>
      <c r="P64" s="1">
        <f t="shared" si="3"/>
        <v>3000</v>
      </c>
      <c r="Q64" s="1">
        <f t="shared" si="4"/>
        <v>150</v>
      </c>
      <c r="R64" s="1">
        <f t="shared" si="0"/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3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1"/>
        <v>2</v>
      </c>
      <c r="L65">
        <f t="shared" si="2"/>
        <v>2022</v>
      </c>
      <c r="M65" s="1">
        <v>1170</v>
      </c>
      <c r="N65" s="1">
        <v>1800</v>
      </c>
      <c r="O65">
        <v>1</v>
      </c>
      <c r="P65" s="1">
        <f t="shared" si="3"/>
        <v>1800</v>
      </c>
      <c r="Q65" s="1">
        <f t="shared" si="4"/>
        <v>0</v>
      </c>
      <c r="R65" s="1">
        <f t="shared" si="0"/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3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1"/>
        <v>2</v>
      </c>
      <c r="L66">
        <f t="shared" si="2"/>
        <v>2022</v>
      </c>
      <c r="M66" s="1">
        <v>1656</v>
      </c>
      <c r="N66" s="1">
        <v>2300</v>
      </c>
      <c r="O66">
        <v>2</v>
      </c>
      <c r="P66" s="1">
        <f t="shared" si="3"/>
        <v>4600</v>
      </c>
      <c r="Q66" s="1">
        <f t="shared" si="4"/>
        <v>230</v>
      </c>
      <c r="R66" s="1">
        <f t="shared" ref="R66:R129" si="6"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3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7">MONTH(J67)</f>
        <v>2</v>
      </c>
      <c r="L67">
        <f t="shared" ref="L67:L130" si="8">YEAR(J67)</f>
        <v>2022</v>
      </c>
      <c r="M67" s="1">
        <v>1872</v>
      </c>
      <c r="N67" s="1">
        <v>2600</v>
      </c>
      <c r="O67">
        <v>1</v>
      </c>
      <c r="P67" s="1">
        <f t="shared" ref="P67:P130" si="9">N67*O67</f>
        <v>2600</v>
      </c>
      <c r="Q67" s="1">
        <f t="shared" ref="Q67:Q130" si="10">IF(P67&gt;2000,P67*5%,0)</f>
        <v>130</v>
      </c>
      <c r="R67" s="1">
        <f t="shared" si="6"/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3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7"/>
        <v>3</v>
      </c>
      <c r="L68">
        <f t="shared" si="8"/>
        <v>2022</v>
      </c>
      <c r="M68" s="1">
        <v>840</v>
      </c>
      <c r="N68" s="1">
        <v>1200</v>
      </c>
      <c r="O68">
        <v>2</v>
      </c>
      <c r="P68" s="1">
        <f t="shared" si="9"/>
        <v>2400</v>
      </c>
      <c r="Q68" s="1">
        <f t="shared" si="10"/>
        <v>120</v>
      </c>
      <c r="R68" s="1">
        <f t="shared" si="6"/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3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7"/>
        <v>3</v>
      </c>
      <c r="L69">
        <f t="shared" si="8"/>
        <v>2022</v>
      </c>
      <c r="M69" s="1">
        <v>1460</v>
      </c>
      <c r="N69" s="1">
        <v>2000</v>
      </c>
      <c r="O69">
        <v>2</v>
      </c>
      <c r="P69" s="1">
        <f t="shared" si="9"/>
        <v>4000</v>
      </c>
      <c r="Q69" s="1">
        <f t="shared" si="10"/>
        <v>200</v>
      </c>
      <c r="R69" s="1">
        <f t="shared" si="6"/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3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7"/>
        <v>3</v>
      </c>
      <c r="L70">
        <f t="shared" si="8"/>
        <v>2022</v>
      </c>
      <c r="M70" s="1">
        <v>1050</v>
      </c>
      <c r="N70" s="1">
        <v>1500</v>
      </c>
      <c r="O70">
        <v>1</v>
      </c>
      <c r="P70" s="1">
        <f t="shared" si="9"/>
        <v>1500</v>
      </c>
      <c r="Q70" s="1">
        <f t="shared" si="10"/>
        <v>0</v>
      </c>
      <c r="R70" s="1">
        <f t="shared" si="6"/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3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7"/>
        <v>3</v>
      </c>
      <c r="L71">
        <f t="shared" si="8"/>
        <v>2022</v>
      </c>
      <c r="M71" s="1">
        <v>1825</v>
      </c>
      <c r="N71" s="1">
        <v>2500</v>
      </c>
      <c r="O71">
        <v>1</v>
      </c>
      <c r="P71" s="1">
        <f t="shared" si="9"/>
        <v>2500</v>
      </c>
      <c r="Q71" s="1">
        <f t="shared" si="10"/>
        <v>125</v>
      </c>
      <c r="R71" s="1">
        <f t="shared" si="6"/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3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7"/>
        <v>3</v>
      </c>
      <c r="L72">
        <f t="shared" si="8"/>
        <v>2022</v>
      </c>
      <c r="M72" s="1">
        <v>1260</v>
      </c>
      <c r="N72" s="1">
        <v>1800</v>
      </c>
      <c r="O72">
        <v>3</v>
      </c>
      <c r="P72" s="1">
        <f t="shared" si="9"/>
        <v>5400</v>
      </c>
      <c r="Q72" s="1">
        <f t="shared" si="10"/>
        <v>270</v>
      </c>
      <c r="R72" s="1">
        <f t="shared" si="6"/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3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7"/>
        <v>3</v>
      </c>
      <c r="L73">
        <f t="shared" si="8"/>
        <v>2022</v>
      </c>
      <c r="M73" s="1">
        <v>1105</v>
      </c>
      <c r="N73" s="1">
        <v>1700</v>
      </c>
      <c r="O73">
        <v>3</v>
      </c>
      <c r="P73" s="1">
        <f t="shared" si="9"/>
        <v>5100</v>
      </c>
      <c r="Q73" s="1">
        <f t="shared" si="10"/>
        <v>255</v>
      </c>
      <c r="R73" s="1">
        <f t="shared" si="6"/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3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7"/>
        <v>3</v>
      </c>
      <c r="L74">
        <f t="shared" si="8"/>
        <v>2022</v>
      </c>
      <c r="M74" s="1">
        <v>1470</v>
      </c>
      <c r="N74" s="1">
        <v>2100</v>
      </c>
      <c r="O74">
        <v>1</v>
      </c>
      <c r="P74" s="1">
        <f t="shared" si="9"/>
        <v>2100</v>
      </c>
      <c r="Q74" s="1">
        <f t="shared" si="10"/>
        <v>105</v>
      </c>
      <c r="R74" s="1">
        <f t="shared" si="6"/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3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7"/>
        <v>3</v>
      </c>
      <c r="L75">
        <f t="shared" si="8"/>
        <v>2022</v>
      </c>
      <c r="M75" s="1">
        <v>1365</v>
      </c>
      <c r="N75" s="1">
        <v>2100</v>
      </c>
      <c r="O75">
        <v>1</v>
      </c>
      <c r="P75" s="1">
        <f t="shared" si="9"/>
        <v>2100</v>
      </c>
      <c r="Q75" s="1">
        <f t="shared" si="10"/>
        <v>105</v>
      </c>
      <c r="R75" s="1">
        <f t="shared" si="6"/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3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7"/>
        <v>3</v>
      </c>
      <c r="L76">
        <f t="shared" si="8"/>
        <v>2022</v>
      </c>
      <c r="M76" s="1">
        <v>896.99999999999989</v>
      </c>
      <c r="N76" s="1">
        <v>1300</v>
      </c>
      <c r="O76">
        <v>2</v>
      </c>
      <c r="P76" s="1">
        <f t="shared" si="9"/>
        <v>2600</v>
      </c>
      <c r="Q76" s="1">
        <f t="shared" si="10"/>
        <v>130</v>
      </c>
      <c r="R76" s="1">
        <f t="shared" si="6"/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3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7"/>
        <v>3</v>
      </c>
      <c r="L77">
        <f t="shared" si="8"/>
        <v>2022</v>
      </c>
      <c r="M77" s="1">
        <v>1035</v>
      </c>
      <c r="N77" s="1">
        <v>1500</v>
      </c>
      <c r="O77">
        <v>2</v>
      </c>
      <c r="P77" s="1">
        <f t="shared" si="9"/>
        <v>3000</v>
      </c>
      <c r="Q77" s="1">
        <f t="shared" si="10"/>
        <v>150</v>
      </c>
      <c r="R77" s="1">
        <f t="shared" si="6"/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3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7"/>
        <v>3</v>
      </c>
      <c r="L78">
        <f t="shared" si="8"/>
        <v>2022</v>
      </c>
      <c r="M78" s="1">
        <v>1104</v>
      </c>
      <c r="N78" s="1">
        <v>1600</v>
      </c>
      <c r="O78">
        <v>1</v>
      </c>
      <c r="P78" s="1">
        <f t="shared" si="9"/>
        <v>1600</v>
      </c>
      <c r="Q78" s="1">
        <f t="shared" si="10"/>
        <v>0</v>
      </c>
      <c r="R78" s="1">
        <f t="shared" si="6"/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3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7"/>
        <v>3</v>
      </c>
      <c r="L79">
        <f t="shared" si="8"/>
        <v>2022</v>
      </c>
      <c r="M79" s="1">
        <v>1242</v>
      </c>
      <c r="N79" s="1">
        <v>1800</v>
      </c>
      <c r="O79">
        <v>1</v>
      </c>
      <c r="P79" s="1">
        <f t="shared" si="9"/>
        <v>1800</v>
      </c>
      <c r="Q79" s="1">
        <f t="shared" si="10"/>
        <v>0</v>
      </c>
      <c r="R79" s="1">
        <f t="shared" si="6"/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3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7"/>
        <v>3</v>
      </c>
      <c r="L80">
        <f t="shared" si="8"/>
        <v>2022</v>
      </c>
      <c r="M80" s="1">
        <v>1496</v>
      </c>
      <c r="N80" s="1">
        <v>2200</v>
      </c>
      <c r="O80">
        <v>2</v>
      </c>
      <c r="P80" s="1">
        <f t="shared" si="9"/>
        <v>4400</v>
      </c>
      <c r="Q80" s="1">
        <f t="shared" si="10"/>
        <v>220</v>
      </c>
      <c r="R80" s="1">
        <f t="shared" si="6"/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3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7"/>
        <v>3</v>
      </c>
      <c r="L81">
        <f t="shared" si="8"/>
        <v>2022</v>
      </c>
      <c r="M81" s="1">
        <v>1700.0000000000002</v>
      </c>
      <c r="N81" s="1">
        <v>2500</v>
      </c>
      <c r="O81">
        <v>1</v>
      </c>
      <c r="P81" s="1">
        <f t="shared" si="9"/>
        <v>2500</v>
      </c>
      <c r="Q81" s="1">
        <f t="shared" si="10"/>
        <v>125</v>
      </c>
      <c r="R81" s="1">
        <f t="shared" si="6"/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3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7"/>
        <v>3</v>
      </c>
      <c r="L82">
        <f t="shared" si="8"/>
        <v>2022</v>
      </c>
      <c r="M82" s="1">
        <v>780</v>
      </c>
      <c r="N82" s="1">
        <v>1300</v>
      </c>
      <c r="O82">
        <v>2</v>
      </c>
      <c r="P82" s="1">
        <f t="shared" si="9"/>
        <v>2600</v>
      </c>
      <c r="Q82" s="1">
        <f t="shared" si="10"/>
        <v>130</v>
      </c>
      <c r="R82" s="1">
        <f t="shared" si="6"/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3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7"/>
        <v>3</v>
      </c>
      <c r="L83">
        <f t="shared" si="8"/>
        <v>2022</v>
      </c>
      <c r="M83" s="1">
        <v>960</v>
      </c>
      <c r="N83" s="1">
        <v>1600</v>
      </c>
      <c r="O83">
        <v>1</v>
      </c>
      <c r="P83" s="1">
        <f t="shared" si="9"/>
        <v>1600</v>
      </c>
      <c r="Q83" s="1">
        <f t="shared" si="10"/>
        <v>0</v>
      </c>
      <c r="R83" s="1">
        <f t="shared" si="6"/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3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7"/>
        <v>3</v>
      </c>
      <c r="L84">
        <f t="shared" si="8"/>
        <v>2022</v>
      </c>
      <c r="M84" s="1">
        <v>1292</v>
      </c>
      <c r="N84" s="1">
        <v>1900</v>
      </c>
      <c r="O84">
        <v>3</v>
      </c>
      <c r="P84" s="1">
        <f t="shared" si="9"/>
        <v>5700</v>
      </c>
      <c r="Q84" s="1">
        <f t="shared" si="10"/>
        <v>285</v>
      </c>
      <c r="R84" s="1">
        <f t="shared" si="6"/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3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7"/>
        <v>3</v>
      </c>
      <c r="L85">
        <f t="shared" si="8"/>
        <v>2022</v>
      </c>
      <c r="M85" s="1">
        <v>1496</v>
      </c>
      <c r="N85" s="1">
        <v>2200</v>
      </c>
      <c r="O85">
        <v>1</v>
      </c>
      <c r="P85" s="1">
        <f t="shared" si="9"/>
        <v>2200</v>
      </c>
      <c r="Q85" s="1">
        <f t="shared" si="10"/>
        <v>110</v>
      </c>
      <c r="R85" s="1">
        <f t="shared" si="6"/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3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7"/>
        <v>3</v>
      </c>
      <c r="L86">
        <f t="shared" si="8"/>
        <v>2022</v>
      </c>
      <c r="M86" s="1">
        <v>1340</v>
      </c>
      <c r="N86" s="1">
        <v>2000</v>
      </c>
      <c r="O86">
        <v>2</v>
      </c>
      <c r="P86" s="1">
        <f t="shared" si="9"/>
        <v>4000</v>
      </c>
      <c r="Q86" s="1">
        <f t="shared" si="10"/>
        <v>200</v>
      </c>
      <c r="R86" s="1">
        <f t="shared" si="6"/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3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7"/>
        <v>3</v>
      </c>
      <c r="L87">
        <f t="shared" si="8"/>
        <v>2022</v>
      </c>
      <c r="M87" s="1">
        <v>1541</v>
      </c>
      <c r="N87" s="1">
        <v>2300</v>
      </c>
      <c r="O87">
        <v>1</v>
      </c>
      <c r="P87" s="1">
        <f t="shared" si="9"/>
        <v>2300</v>
      </c>
      <c r="Q87" s="1">
        <f t="shared" si="10"/>
        <v>115</v>
      </c>
      <c r="R87" s="1">
        <f t="shared" si="6"/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3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7"/>
        <v>3</v>
      </c>
      <c r="L88">
        <f t="shared" si="8"/>
        <v>2022</v>
      </c>
      <c r="M88" s="1">
        <v>2250</v>
      </c>
      <c r="N88" s="1">
        <v>3000</v>
      </c>
      <c r="O88">
        <v>2</v>
      </c>
      <c r="P88" s="1">
        <f t="shared" si="9"/>
        <v>6000</v>
      </c>
      <c r="Q88" s="1">
        <f t="shared" si="10"/>
        <v>300</v>
      </c>
      <c r="R88" s="1">
        <f t="shared" si="6"/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3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7"/>
        <v>3</v>
      </c>
      <c r="L89">
        <f t="shared" si="8"/>
        <v>2022</v>
      </c>
      <c r="M89" s="1">
        <v>2625</v>
      </c>
      <c r="N89" s="1">
        <v>3500</v>
      </c>
      <c r="O89">
        <v>1</v>
      </c>
      <c r="P89" s="1">
        <f t="shared" si="9"/>
        <v>3500</v>
      </c>
      <c r="Q89" s="1">
        <f t="shared" si="10"/>
        <v>175</v>
      </c>
      <c r="R89" s="1">
        <f t="shared" si="6"/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3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7"/>
        <v>3</v>
      </c>
      <c r="L90">
        <f t="shared" si="8"/>
        <v>2022</v>
      </c>
      <c r="M90" s="1">
        <v>737</v>
      </c>
      <c r="N90" s="1">
        <v>1100</v>
      </c>
      <c r="O90">
        <v>2</v>
      </c>
      <c r="P90" s="1">
        <f t="shared" si="9"/>
        <v>2200</v>
      </c>
      <c r="Q90" s="1">
        <f t="shared" si="10"/>
        <v>110</v>
      </c>
      <c r="R90" s="1">
        <f t="shared" si="6"/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3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7"/>
        <v>3</v>
      </c>
      <c r="L91">
        <f t="shared" si="8"/>
        <v>2022</v>
      </c>
      <c r="M91" s="1">
        <v>938</v>
      </c>
      <c r="N91" s="1">
        <v>1400</v>
      </c>
      <c r="O91">
        <v>1</v>
      </c>
      <c r="P91" s="1">
        <f t="shared" si="9"/>
        <v>1400</v>
      </c>
      <c r="Q91" s="1">
        <f t="shared" si="10"/>
        <v>0</v>
      </c>
      <c r="R91" s="1">
        <f t="shared" si="6"/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3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7"/>
        <v>3</v>
      </c>
      <c r="L92">
        <f t="shared" si="8"/>
        <v>2022</v>
      </c>
      <c r="M92" s="1">
        <v>1190</v>
      </c>
      <c r="N92" s="1">
        <v>1700</v>
      </c>
      <c r="O92">
        <v>3</v>
      </c>
      <c r="P92" s="1">
        <f t="shared" si="9"/>
        <v>5100</v>
      </c>
      <c r="Q92" s="1">
        <f t="shared" si="10"/>
        <v>255</v>
      </c>
      <c r="R92" s="1">
        <f t="shared" si="6"/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3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7"/>
        <v>3</v>
      </c>
      <c r="L93">
        <f t="shared" si="8"/>
        <v>2022</v>
      </c>
      <c r="M93" s="1">
        <v>1190</v>
      </c>
      <c r="N93" s="1">
        <v>1700</v>
      </c>
      <c r="O93">
        <v>3</v>
      </c>
      <c r="P93" s="1">
        <f t="shared" si="9"/>
        <v>5100</v>
      </c>
      <c r="Q93" s="1">
        <f t="shared" si="10"/>
        <v>255</v>
      </c>
      <c r="R93" s="1">
        <f t="shared" si="6"/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3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7"/>
        <v>3</v>
      </c>
      <c r="L94">
        <f t="shared" si="8"/>
        <v>2022</v>
      </c>
      <c r="M94" s="1">
        <v>1400</v>
      </c>
      <c r="N94" s="1">
        <v>2000</v>
      </c>
      <c r="O94">
        <v>1</v>
      </c>
      <c r="P94" s="1">
        <f t="shared" si="9"/>
        <v>2000</v>
      </c>
      <c r="Q94" s="1">
        <f t="shared" si="10"/>
        <v>0</v>
      </c>
      <c r="R94" s="1">
        <f t="shared" si="6"/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3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7"/>
        <v>3</v>
      </c>
      <c r="L95">
        <f t="shared" si="8"/>
        <v>2022</v>
      </c>
      <c r="M95" s="1">
        <v>1400</v>
      </c>
      <c r="N95" s="1">
        <v>2000</v>
      </c>
      <c r="O95">
        <v>1</v>
      </c>
      <c r="P95" s="1">
        <f t="shared" si="9"/>
        <v>2000</v>
      </c>
      <c r="Q95" s="1">
        <f t="shared" si="10"/>
        <v>0</v>
      </c>
      <c r="R95" s="1">
        <f t="shared" si="6"/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3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7"/>
        <v>3</v>
      </c>
      <c r="L96">
        <f t="shared" si="8"/>
        <v>2022</v>
      </c>
      <c r="M96" s="1">
        <v>975</v>
      </c>
      <c r="N96" s="1">
        <v>1500</v>
      </c>
      <c r="O96">
        <v>2</v>
      </c>
      <c r="P96" s="1">
        <f t="shared" si="9"/>
        <v>3000</v>
      </c>
      <c r="Q96" s="1">
        <f t="shared" si="10"/>
        <v>150</v>
      </c>
      <c r="R96" s="1">
        <f t="shared" si="6"/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3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7"/>
        <v>3</v>
      </c>
      <c r="L97">
        <f t="shared" si="8"/>
        <v>2022</v>
      </c>
      <c r="M97" s="1">
        <v>975</v>
      </c>
      <c r="N97" s="1">
        <v>1500</v>
      </c>
      <c r="O97">
        <v>2</v>
      </c>
      <c r="P97" s="1">
        <f t="shared" si="9"/>
        <v>3000</v>
      </c>
      <c r="Q97" s="1">
        <f t="shared" si="10"/>
        <v>150</v>
      </c>
      <c r="R97" s="1">
        <f t="shared" si="6"/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3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7"/>
        <v>3</v>
      </c>
      <c r="L98">
        <f t="shared" si="8"/>
        <v>2022</v>
      </c>
      <c r="M98" s="1">
        <v>1170</v>
      </c>
      <c r="N98" s="1">
        <v>1800</v>
      </c>
      <c r="O98">
        <v>1</v>
      </c>
      <c r="P98" s="1">
        <f t="shared" si="9"/>
        <v>1800</v>
      </c>
      <c r="Q98" s="1">
        <f t="shared" si="10"/>
        <v>0</v>
      </c>
      <c r="R98" s="1">
        <f t="shared" si="6"/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3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7"/>
        <v>3</v>
      </c>
      <c r="L99">
        <f t="shared" si="8"/>
        <v>2022</v>
      </c>
      <c r="M99" s="1">
        <v>1170</v>
      </c>
      <c r="N99" s="1">
        <v>1800</v>
      </c>
      <c r="O99">
        <v>1</v>
      </c>
      <c r="P99" s="1">
        <f t="shared" si="9"/>
        <v>1800</v>
      </c>
      <c r="Q99" s="1">
        <f t="shared" si="10"/>
        <v>0</v>
      </c>
      <c r="R99" s="1">
        <f t="shared" si="6"/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3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7"/>
        <v>3</v>
      </c>
      <c r="L100">
        <f t="shared" si="8"/>
        <v>2022</v>
      </c>
      <c r="M100" s="1">
        <v>1656</v>
      </c>
      <c r="N100" s="1">
        <v>2300</v>
      </c>
      <c r="O100">
        <v>2</v>
      </c>
      <c r="P100" s="1">
        <f t="shared" si="9"/>
        <v>4600</v>
      </c>
      <c r="Q100" s="1">
        <f t="shared" si="10"/>
        <v>230</v>
      </c>
      <c r="R100" s="1">
        <f t="shared" si="6"/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3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7"/>
        <v>3</v>
      </c>
      <c r="L101">
        <f t="shared" si="8"/>
        <v>2022</v>
      </c>
      <c r="M101" s="1">
        <v>1656</v>
      </c>
      <c r="N101" s="1">
        <v>2300</v>
      </c>
      <c r="O101">
        <v>2</v>
      </c>
      <c r="P101" s="1">
        <f t="shared" si="9"/>
        <v>4600</v>
      </c>
      <c r="Q101" s="1">
        <f t="shared" si="10"/>
        <v>230</v>
      </c>
      <c r="R101" s="1">
        <f t="shared" si="6"/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3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7"/>
        <v>3</v>
      </c>
      <c r="L102">
        <f t="shared" si="8"/>
        <v>2022</v>
      </c>
      <c r="M102" s="1">
        <v>1872</v>
      </c>
      <c r="N102" s="1">
        <v>2600</v>
      </c>
      <c r="O102">
        <v>1</v>
      </c>
      <c r="P102" s="1">
        <f t="shared" si="9"/>
        <v>2600</v>
      </c>
      <c r="Q102" s="1">
        <f t="shared" si="10"/>
        <v>130</v>
      </c>
      <c r="R102" s="1">
        <f t="shared" si="6"/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3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7"/>
        <v>3</v>
      </c>
      <c r="L103">
        <f t="shared" si="8"/>
        <v>2022</v>
      </c>
      <c r="M103" s="1">
        <v>1872</v>
      </c>
      <c r="N103" s="1">
        <v>2600</v>
      </c>
      <c r="O103">
        <v>1</v>
      </c>
      <c r="P103" s="1">
        <f t="shared" si="9"/>
        <v>2600</v>
      </c>
      <c r="Q103" s="1">
        <f t="shared" si="10"/>
        <v>130</v>
      </c>
      <c r="R103" s="1">
        <f t="shared" si="6"/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3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7"/>
        <v>1</v>
      </c>
      <c r="L104">
        <f t="shared" si="8"/>
        <v>2023</v>
      </c>
      <c r="M104" s="1">
        <v>840</v>
      </c>
      <c r="N104" s="1">
        <v>1200</v>
      </c>
      <c r="O104">
        <v>2</v>
      </c>
      <c r="P104" s="1">
        <f t="shared" si="9"/>
        <v>2400</v>
      </c>
      <c r="Q104" s="1">
        <f t="shared" si="10"/>
        <v>120</v>
      </c>
      <c r="R104" s="1">
        <f t="shared" si="6"/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3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7"/>
        <v>1</v>
      </c>
      <c r="L105">
        <f t="shared" si="8"/>
        <v>2023</v>
      </c>
      <c r="M105" s="1">
        <v>1460</v>
      </c>
      <c r="N105" s="1">
        <v>2000</v>
      </c>
      <c r="O105">
        <v>2</v>
      </c>
      <c r="P105" s="1">
        <f t="shared" si="9"/>
        <v>4000</v>
      </c>
      <c r="Q105" s="1">
        <f t="shared" si="10"/>
        <v>200</v>
      </c>
      <c r="R105" s="1">
        <f t="shared" si="6"/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3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7"/>
        <v>1</v>
      </c>
      <c r="L106">
        <f t="shared" si="8"/>
        <v>2023</v>
      </c>
      <c r="M106" s="1">
        <v>1050</v>
      </c>
      <c r="N106" s="1">
        <v>1500</v>
      </c>
      <c r="O106">
        <v>1</v>
      </c>
      <c r="P106" s="1">
        <f t="shared" si="9"/>
        <v>1500</v>
      </c>
      <c r="Q106" s="1">
        <f t="shared" si="10"/>
        <v>0</v>
      </c>
      <c r="R106" s="1">
        <f t="shared" si="6"/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3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7"/>
        <v>1</v>
      </c>
      <c r="L107">
        <f t="shared" si="8"/>
        <v>2023</v>
      </c>
      <c r="M107" s="1">
        <v>1825</v>
      </c>
      <c r="N107" s="1">
        <v>2500</v>
      </c>
      <c r="O107">
        <v>1</v>
      </c>
      <c r="P107" s="1">
        <f t="shared" si="9"/>
        <v>2500</v>
      </c>
      <c r="Q107" s="1">
        <f t="shared" si="10"/>
        <v>125</v>
      </c>
      <c r="R107" s="1">
        <f t="shared" si="6"/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3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7"/>
        <v>1</v>
      </c>
      <c r="L108">
        <f t="shared" si="8"/>
        <v>2023</v>
      </c>
      <c r="M108" s="1">
        <v>1260</v>
      </c>
      <c r="N108" s="1">
        <v>1800</v>
      </c>
      <c r="O108">
        <v>3</v>
      </c>
      <c r="P108" s="1">
        <f t="shared" si="9"/>
        <v>5400</v>
      </c>
      <c r="Q108" s="1">
        <f t="shared" si="10"/>
        <v>270</v>
      </c>
      <c r="R108" s="1">
        <f t="shared" si="6"/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3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7"/>
        <v>1</v>
      </c>
      <c r="L109">
        <f t="shared" si="8"/>
        <v>2023</v>
      </c>
      <c r="M109" s="1">
        <v>1105</v>
      </c>
      <c r="N109" s="1">
        <v>1700</v>
      </c>
      <c r="O109">
        <v>3</v>
      </c>
      <c r="P109" s="1">
        <f t="shared" si="9"/>
        <v>5100</v>
      </c>
      <c r="Q109" s="1">
        <f t="shared" si="10"/>
        <v>255</v>
      </c>
      <c r="R109" s="1">
        <f t="shared" si="6"/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3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7"/>
        <v>1</v>
      </c>
      <c r="L110">
        <f t="shared" si="8"/>
        <v>2023</v>
      </c>
      <c r="M110" s="1">
        <v>1470</v>
      </c>
      <c r="N110" s="1">
        <v>2100</v>
      </c>
      <c r="O110">
        <v>1</v>
      </c>
      <c r="P110" s="1">
        <f t="shared" si="9"/>
        <v>2100</v>
      </c>
      <c r="Q110" s="1">
        <f t="shared" si="10"/>
        <v>105</v>
      </c>
      <c r="R110" s="1">
        <f t="shared" si="6"/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3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7"/>
        <v>1</v>
      </c>
      <c r="L111">
        <f t="shared" si="8"/>
        <v>2023</v>
      </c>
      <c r="M111" s="1">
        <v>1470</v>
      </c>
      <c r="N111" s="1">
        <v>2100</v>
      </c>
      <c r="O111">
        <v>1</v>
      </c>
      <c r="P111" s="1">
        <f t="shared" si="9"/>
        <v>2100</v>
      </c>
      <c r="Q111" s="1">
        <f t="shared" si="10"/>
        <v>105</v>
      </c>
      <c r="R111" s="1">
        <f t="shared" si="6"/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3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7"/>
        <v>1</v>
      </c>
      <c r="L112">
        <f t="shared" si="8"/>
        <v>2023</v>
      </c>
      <c r="M112" s="1">
        <v>1365</v>
      </c>
      <c r="N112" s="1">
        <v>2100</v>
      </c>
      <c r="O112">
        <v>1</v>
      </c>
      <c r="P112" s="1">
        <f t="shared" si="9"/>
        <v>2100</v>
      </c>
      <c r="Q112" s="1">
        <f t="shared" si="10"/>
        <v>105</v>
      </c>
      <c r="R112" s="1">
        <f t="shared" si="6"/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3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7"/>
        <v>1</v>
      </c>
      <c r="L113">
        <f t="shared" si="8"/>
        <v>2023</v>
      </c>
      <c r="M113" s="1">
        <v>896.99999999999989</v>
      </c>
      <c r="N113" s="1">
        <v>1300</v>
      </c>
      <c r="O113">
        <v>2</v>
      </c>
      <c r="P113" s="1">
        <f t="shared" si="9"/>
        <v>2600</v>
      </c>
      <c r="Q113" s="1">
        <f t="shared" si="10"/>
        <v>130</v>
      </c>
      <c r="R113" s="1">
        <f t="shared" si="6"/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3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7"/>
        <v>1</v>
      </c>
      <c r="L114">
        <f t="shared" si="8"/>
        <v>2023</v>
      </c>
      <c r="M114" s="1">
        <v>896.99999999999989</v>
      </c>
      <c r="N114" s="1">
        <v>1300</v>
      </c>
      <c r="O114">
        <v>2</v>
      </c>
      <c r="P114" s="1">
        <f t="shared" si="9"/>
        <v>2600</v>
      </c>
      <c r="Q114" s="1">
        <f t="shared" si="10"/>
        <v>130</v>
      </c>
      <c r="R114" s="1">
        <f t="shared" si="6"/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3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7"/>
        <v>1</v>
      </c>
      <c r="L115">
        <f t="shared" si="8"/>
        <v>2023</v>
      </c>
      <c r="M115" s="1">
        <v>1035</v>
      </c>
      <c r="N115" s="1">
        <v>1500</v>
      </c>
      <c r="O115">
        <v>2</v>
      </c>
      <c r="P115" s="1">
        <f t="shared" si="9"/>
        <v>3000</v>
      </c>
      <c r="Q115" s="1">
        <f t="shared" si="10"/>
        <v>150</v>
      </c>
      <c r="R115" s="1">
        <f t="shared" si="6"/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3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7"/>
        <v>1</v>
      </c>
      <c r="L116">
        <f t="shared" si="8"/>
        <v>2023</v>
      </c>
      <c r="M116" s="1">
        <v>1104</v>
      </c>
      <c r="N116" s="1">
        <v>1600</v>
      </c>
      <c r="O116">
        <v>1</v>
      </c>
      <c r="P116" s="1">
        <f t="shared" si="9"/>
        <v>1600</v>
      </c>
      <c r="Q116" s="1">
        <f t="shared" si="10"/>
        <v>0</v>
      </c>
      <c r="R116" s="1">
        <f t="shared" si="6"/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3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7"/>
        <v>1</v>
      </c>
      <c r="L117">
        <f t="shared" si="8"/>
        <v>2023</v>
      </c>
      <c r="M117" s="1">
        <v>1104</v>
      </c>
      <c r="N117" s="1">
        <v>1600</v>
      </c>
      <c r="O117">
        <v>1</v>
      </c>
      <c r="P117" s="1">
        <f t="shared" si="9"/>
        <v>1600</v>
      </c>
      <c r="Q117" s="1">
        <f t="shared" si="10"/>
        <v>0</v>
      </c>
      <c r="R117" s="1">
        <f t="shared" si="6"/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3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7"/>
        <v>1</v>
      </c>
      <c r="L118">
        <f t="shared" si="8"/>
        <v>2023</v>
      </c>
      <c r="M118" s="1">
        <v>1242</v>
      </c>
      <c r="N118" s="1">
        <v>1800</v>
      </c>
      <c r="O118">
        <v>1</v>
      </c>
      <c r="P118" s="1">
        <f t="shared" si="9"/>
        <v>1800</v>
      </c>
      <c r="Q118" s="1">
        <f t="shared" si="10"/>
        <v>0</v>
      </c>
      <c r="R118" s="1">
        <f t="shared" si="6"/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3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7"/>
        <v>1</v>
      </c>
      <c r="L119">
        <f t="shared" si="8"/>
        <v>2023</v>
      </c>
      <c r="M119" s="1">
        <v>1496</v>
      </c>
      <c r="N119" s="1">
        <v>2200</v>
      </c>
      <c r="O119">
        <v>2</v>
      </c>
      <c r="P119" s="1">
        <f t="shared" si="9"/>
        <v>4400</v>
      </c>
      <c r="Q119" s="1">
        <f t="shared" si="10"/>
        <v>220</v>
      </c>
      <c r="R119" s="1">
        <f t="shared" si="6"/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3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7"/>
        <v>1</v>
      </c>
      <c r="L120">
        <f t="shared" si="8"/>
        <v>2023</v>
      </c>
      <c r="M120" s="1">
        <v>1496</v>
      </c>
      <c r="N120" s="1">
        <v>2200</v>
      </c>
      <c r="O120">
        <v>2</v>
      </c>
      <c r="P120" s="1">
        <f t="shared" si="9"/>
        <v>4400</v>
      </c>
      <c r="Q120" s="1">
        <f t="shared" si="10"/>
        <v>220</v>
      </c>
      <c r="R120" s="1">
        <f t="shared" si="6"/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3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7"/>
        <v>1</v>
      </c>
      <c r="L121">
        <f t="shared" si="8"/>
        <v>2023</v>
      </c>
      <c r="M121" s="1">
        <v>2080</v>
      </c>
      <c r="N121" s="1">
        <v>3200</v>
      </c>
      <c r="O121">
        <v>2</v>
      </c>
      <c r="P121" s="1">
        <f t="shared" si="9"/>
        <v>6400</v>
      </c>
      <c r="Q121" s="1">
        <f t="shared" si="10"/>
        <v>320</v>
      </c>
      <c r="R121" s="1">
        <f t="shared" si="6"/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3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7"/>
        <v>1</v>
      </c>
      <c r="L122">
        <f t="shared" si="8"/>
        <v>2023</v>
      </c>
      <c r="M122" s="1">
        <v>1700.0000000000002</v>
      </c>
      <c r="N122" s="1">
        <v>2500</v>
      </c>
      <c r="O122">
        <v>1</v>
      </c>
      <c r="P122" s="1">
        <f t="shared" si="9"/>
        <v>2500</v>
      </c>
      <c r="Q122" s="1">
        <f t="shared" si="10"/>
        <v>125</v>
      </c>
      <c r="R122" s="1">
        <f t="shared" si="6"/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3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7"/>
        <v>1</v>
      </c>
      <c r="L123">
        <f t="shared" si="8"/>
        <v>2023</v>
      </c>
      <c r="M123" s="1">
        <v>1700.0000000000002</v>
      </c>
      <c r="N123" s="1">
        <v>2500</v>
      </c>
      <c r="O123">
        <v>1</v>
      </c>
      <c r="P123" s="1">
        <f t="shared" si="9"/>
        <v>2500</v>
      </c>
      <c r="Q123" s="1">
        <f t="shared" si="10"/>
        <v>125</v>
      </c>
      <c r="R123" s="1">
        <f t="shared" si="6"/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3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7"/>
        <v>1</v>
      </c>
      <c r="L124">
        <f t="shared" si="8"/>
        <v>2023</v>
      </c>
      <c r="M124" s="1">
        <v>2405</v>
      </c>
      <c r="N124" s="1">
        <v>3700</v>
      </c>
      <c r="O124">
        <v>1</v>
      </c>
      <c r="P124" s="1">
        <f t="shared" si="9"/>
        <v>3700</v>
      </c>
      <c r="Q124" s="1">
        <f t="shared" si="10"/>
        <v>185</v>
      </c>
      <c r="R124" s="1">
        <f t="shared" si="6"/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3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7"/>
        <v>1</v>
      </c>
      <c r="L125">
        <f t="shared" si="8"/>
        <v>2023</v>
      </c>
      <c r="M125" s="1">
        <v>780</v>
      </c>
      <c r="N125" s="1">
        <v>1300</v>
      </c>
      <c r="O125">
        <v>2</v>
      </c>
      <c r="P125" s="1">
        <f t="shared" si="9"/>
        <v>2600</v>
      </c>
      <c r="Q125" s="1">
        <f t="shared" si="10"/>
        <v>130</v>
      </c>
      <c r="R125" s="1">
        <f t="shared" si="6"/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3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7"/>
        <v>1</v>
      </c>
      <c r="L126">
        <f t="shared" si="8"/>
        <v>2023</v>
      </c>
      <c r="M126" s="1">
        <v>960</v>
      </c>
      <c r="N126" s="1">
        <v>1600</v>
      </c>
      <c r="O126">
        <v>1</v>
      </c>
      <c r="P126" s="1">
        <f t="shared" si="9"/>
        <v>1600</v>
      </c>
      <c r="Q126" s="1">
        <f t="shared" si="10"/>
        <v>0</v>
      </c>
      <c r="R126" s="1">
        <f t="shared" si="6"/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3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7"/>
        <v>1</v>
      </c>
      <c r="L127">
        <f t="shared" si="8"/>
        <v>2023</v>
      </c>
      <c r="M127" s="1">
        <v>1292</v>
      </c>
      <c r="N127" s="1">
        <v>1900</v>
      </c>
      <c r="O127">
        <v>3</v>
      </c>
      <c r="P127" s="1">
        <f t="shared" si="9"/>
        <v>5700</v>
      </c>
      <c r="Q127" s="1">
        <f t="shared" si="10"/>
        <v>285</v>
      </c>
      <c r="R127" s="1">
        <f t="shared" si="6"/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3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7"/>
        <v>1</v>
      </c>
      <c r="L128">
        <f t="shared" si="8"/>
        <v>2023</v>
      </c>
      <c r="M128" s="1">
        <v>1496</v>
      </c>
      <c r="N128" s="1">
        <v>2200</v>
      </c>
      <c r="O128">
        <v>1</v>
      </c>
      <c r="P128" s="1">
        <f t="shared" si="9"/>
        <v>2200</v>
      </c>
      <c r="Q128" s="1">
        <f t="shared" si="10"/>
        <v>110</v>
      </c>
      <c r="R128" s="1">
        <f t="shared" si="6"/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3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7"/>
        <v>1</v>
      </c>
      <c r="L129">
        <f t="shared" si="8"/>
        <v>2023</v>
      </c>
      <c r="M129" s="1">
        <v>1340</v>
      </c>
      <c r="N129" s="1">
        <v>2000</v>
      </c>
      <c r="O129">
        <v>2</v>
      </c>
      <c r="P129" s="1">
        <f t="shared" si="9"/>
        <v>4000</v>
      </c>
      <c r="Q129" s="1">
        <f t="shared" si="10"/>
        <v>200</v>
      </c>
      <c r="R129" s="1">
        <f t="shared" si="6"/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3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7"/>
        <v>1</v>
      </c>
      <c r="L130">
        <f t="shared" si="8"/>
        <v>2023</v>
      </c>
      <c r="M130" s="1">
        <v>1541</v>
      </c>
      <c r="N130" s="1">
        <v>2300</v>
      </c>
      <c r="O130">
        <v>1</v>
      </c>
      <c r="P130" s="1">
        <f t="shared" si="9"/>
        <v>2300</v>
      </c>
      <c r="Q130" s="1">
        <f t="shared" si="10"/>
        <v>115</v>
      </c>
      <c r="R130" s="1">
        <f t="shared" ref="R130:R193" si="11"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3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12">MONTH(J131)</f>
        <v>1</v>
      </c>
      <c r="L131">
        <f t="shared" ref="L131:L194" si="13">YEAR(J131)</f>
        <v>2023</v>
      </c>
      <c r="M131" s="1">
        <v>2250</v>
      </c>
      <c r="N131" s="1">
        <v>3000</v>
      </c>
      <c r="O131">
        <v>2</v>
      </c>
      <c r="P131" s="1">
        <f t="shared" ref="P131:P194" si="14">N131*O131</f>
        <v>6000</v>
      </c>
      <c r="Q131" s="1">
        <f t="shared" ref="Q131:Q194" si="15">IF(P131&gt;2000,P131*5%,0)</f>
        <v>300</v>
      </c>
      <c r="R131" s="1">
        <f t="shared" si="11"/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3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12"/>
        <v>1</v>
      </c>
      <c r="L132">
        <f t="shared" si="13"/>
        <v>2023</v>
      </c>
      <c r="M132" s="1">
        <v>2625</v>
      </c>
      <c r="N132" s="1">
        <v>3500</v>
      </c>
      <c r="O132">
        <v>1</v>
      </c>
      <c r="P132" s="1">
        <f t="shared" si="14"/>
        <v>3500</v>
      </c>
      <c r="Q132" s="1">
        <f t="shared" si="15"/>
        <v>175</v>
      </c>
      <c r="R132" s="1">
        <f t="shared" si="11"/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3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12"/>
        <v>1</v>
      </c>
      <c r="L133">
        <f t="shared" si="13"/>
        <v>2023</v>
      </c>
      <c r="M133" s="1">
        <v>737</v>
      </c>
      <c r="N133" s="1">
        <v>1100</v>
      </c>
      <c r="O133">
        <v>2</v>
      </c>
      <c r="P133" s="1">
        <f t="shared" si="14"/>
        <v>2200</v>
      </c>
      <c r="Q133" s="1">
        <f t="shared" si="15"/>
        <v>110</v>
      </c>
      <c r="R133" s="1">
        <f t="shared" si="11"/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3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12"/>
        <v>1</v>
      </c>
      <c r="L134">
        <f t="shared" si="13"/>
        <v>2023</v>
      </c>
      <c r="M134" s="1">
        <v>737</v>
      </c>
      <c r="N134" s="1">
        <v>1100</v>
      </c>
      <c r="O134">
        <v>2</v>
      </c>
      <c r="P134" s="1">
        <f t="shared" si="14"/>
        <v>2200</v>
      </c>
      <c r="Q134" s="1">
        <f t="shared" si="15"/>
        <v>110</v>
      </c>
      <c r="R134" s="1">
        <f t="shared" si="11"/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3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12"/>
        <v>1</v>
      </c>
      <c r="L135">
        <f t="shared" si="13"/>
        <v>2023</v>
      </c>
      <c r="M135" s="1">
        <v>938</v>
      </c>
      <c r="N135" s="1">
        <v>1400</v>
      </c>
      <c r="O135">
        <v>1</v>
      </c>
      <c r="P135" s="1">
        <f t="shared" si="14"/>
        <v>1400</v>
      </c>
      <c r="Q135" s="1">
        <f t="shared" si="15"/>
        <v>0</v>
      </c>
      <c r="R135" s="1">
        <f t="shared" si="11"/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3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12"/>
        <v>1</v>
      </c>
      <c r="L136">
        <f t="shared" si="13"/>
        <v>2023</v>
      </c>
      <c r="M136" s="1">
        <v>938</v>
      </c>
      <c r="N136" s="1">
        <v>1400</v>
      </c>
      <c r="O136">
        <v>1</v>
      </c>
      <c r="P136" s="1">
        <f t="shared" si="14"/>
        <v>1400</v>
      </c>
      <c r="Q136" s="1">
        <f t="shared" si="15"/>
        <v>0</v>
      </c>
      <c r="R136" s="1">
        <f t="shared" si="11"/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3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12"/>
        <v>1</v>
      </c>
      <c r="L137">
        <f t="shared" si="13"/>
        <v>2023</v>
      </c>
      <c r="M137" s="1">
        <v>1190</v>
      </c>
      <c r="N137" s="1">
        <v>1700</v>
      </c>
      <c r="O137">
        <v>3</v>
      </c>
      <c r="P137" s="1">
        <f t="shared" si="14"/>
        <v>5100</v>
      </c>
      <c r="Q137" s="1">
        <f t="shared" si="15"/>
        <v>255</v>
      </c>
      <c r="R137" s="1">
        <f t="shared" si="11"/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3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12"/>
        <v>1</v>
      </c>
      <c r="L138">
        <f t="shared" si="13"/>
        <v>2023</v>
      </c>
      <c r="M138" s="1">
        <v>1190</v>
      </c>
      <c r="N138" s="1">
        <v>1700</v>
      </c>
      <c r="O138">
        <v>3</v>
      </c>
      <c r="P138" s="1">
        <f t="shared" si="14"/>
        <v>5100</v>
      </c>
      <c r="Q138" s="1">
        <f t="shared" si="15"/>
        <v>255</v>
      </c>
      <c r="R138" s="1">
        <f t="shared" si="11"/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3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12"/>
        <v>1</v>
      </c>
      <c r="L139">
        <f t="shared" si="13"/>
        <v>2023</v>
      </c>
      <c r="M139" s="1">
        <v>1400</v>
      </c>
      <c r="N139" s="1">
        <v>2000</v>
      </c>
      <c r="O139">
        <v>1</v>
      </c>
      <c r="P139" s="1">
        <f t="shared" si="14"/>
        <v>2000</v>
      </c>
      <c r="Q139" s="1">
        <f t="shared" si="15"/>
        <v>0</v>
      </c>
      <c r="R139" s="1">
        <f t="shared" si="11"/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3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12"/>
        <v>1</v>
      </c>
      <c r="L140">
        <f t="shared" si="13"/>
        <v>2023</v>
      </c>
      <c r="M140" s="1">
        <v>1400</v>
      </c>
      <c r="N140" s="1">
        <v>2000</v>
      </c>
      <c r="O140">
        <v>1</v>
      </c>
      <c r="P140" s="1">
        <f t="shared" si="14"/>
        <v>2000</v>
      </c>
      <c r="Q140" s="1">
        <f t="shared" si="15"/>
        <v>0</v>
      </c>
      <c r="R140" s="1">
        <f t="shared" si="11"/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3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12"/>
        <v>1</v>
      </c>
      <c r="L141">
        <f t="shared" si="13"/>
        <v>2023</v>
      </c>
      <c r="M141" s="1">
        <v>975</v>
      </c>
      <c r="N141" s="1">
        <v>1500</v>
      </c>
      <c r="O141">
        <v>2</v>
      </c>
      <c r="P141" s="1">
        <f t="shared" si="14"/>
        <v>3000</v>
      </c>
      <c r="Q141" s="1">
        <f t="shared" si="15"/>
        <v>150</v>
      </c>
      <c r="R141" s="1">
        <f t="shared" si="11"/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3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12"/>
        <v>1</v>
      </c>
      <c r="L142">
        <f t="shared" si="13"/>
        <v>2023</v>
      </c>
      <c r="M142" s="1">
        <v>975</v>
      </c>
      <c r="N142" s="1">
        <v>1500</v>
      </c>
      <c r="O142">
        <v>2</v>
      </c>
      <c r="P142" s="1">
        <f t="shared" si="14"/>
        <v>3000</v>
      </c>
      <c r="Q142" s="1">
        <f t="shared" si="15"/>
        <v>150</v>
      </c>
      <c r="R142" s="1">
        <f t="shared" si="11"/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3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12"/>
        <v>1</v>
      </c>
      <c r="L143">
        <f t="shared" si="13"/>
        <v>2023</v>
      </c>
      <c r="M143" s="1">
        <v>1170</v>
      </c>
      <c r="N143" s="1">
        <v>1800</v>
      </c>
      <c r="O143">
        <v>1</v>
      </c>
      <c r="P143" s="1">
        <f t="shared" si="14"/>
        <v>1800</v>
      </c>
      <c r="Q143" s="1">
        <f t="shared" si="15"/>
        <v>0</v>
      </c>
      <c r="R143" s="1">
        <f t="shared" si="11"/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3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12"/>
        <v>1</v>
      </c>
      <c r="L144">
        <f t="shared" si="13"/>
        <v>2023</v>
      </c>
      <c r="M144" s="1">
        <v>1170</v>
      </c>
      <c r="N144" s="1">
        <v>1800</v>
      </c>
      <c r="O144">
        <v>1</v>
      </c>
      <c r="P144" s="1">
        <f t="shared" si="14"/>
        <v>1800</v>
      </c>
      <c r="Q144" s="1">
        <f t="shared" si="15"/>
        <v>0</v>
      </c>
      <c r="R144" s="1">
        <f t="shared" si="11"/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3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12"/>
        <v>1</v>
      </c>
      <c r="L145">
        <f t="shared" si="13"/>
        <v>2023</v>
      </c>
      <c r="M145" s="1">
        <v>1656</v>
      </c>
      <c r="N145" s="1">
        <v>2300</v>
      </c>
      <c r="O145">
        <v>2</v>
      </c>
      <c r="P145" s="1">
        <f t="shared" si="14"/>
        <v>4600</v>
      </c>
      <c r="Q145" s="1">
        <f t="shared" si="15"/>
        <v>230</v>
      </c>
      <c r="R145" s="1">
        <f t="shared" si="11"/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3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12"/>
        <v>1</v>
      </c>
      <c r="L146">
        <f t="shared" si="13"/>
        <v>2023</v>
      </c>
      <c r="M146" s="1">
        <v>1656</v>
      </c>
      <c r="N146" s="1">
        <v>2300</v>
      </c>
      <c r="O146">
        <v>2</v>
      </c>
      <c r="P146" s="1">
        <f t="shared" si="14"/>
        <v>4600</v>
      </c>
      <c r="Q146" s="1">
        <f t="shared" si="15"/>
        <v>230</v>
      </c>
      <c r="R146" s="1">
        <f t="shared" si="11"/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3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12"/>
        <v>1</v>
      </c>
      <c r="L147">
        <f t="shared" si="13"/>
        <v>2023</v>
      </c>
      <c r="M147" s="1">
        <v>1872</v>
      </c>
      <c r="N147" s="1">
        <v>2600</v>
      </c>
      <c r="O147">
        <v>1</v>
      </c>
      <c r="P147" s="1">
        <f t="shared" si="14"/>
        <v>2600</v>
      </c>
      <c r="Q147" s="1">
        <f t="shared" si="15"/>
        <v>130</v>
      </c>
      <c r="R147" s="1">
        <f t="shared" si="11"/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3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12"/>
        <v>1</v>
      </c>
      <c r="L148">
        <f t="shared" si="13"/>
        <v>2023</v>
      </c>
      <c r="M148" s="1">
        <v>1872</v>
      </c>
      <c r="N148" s="1">
        <v>2600</v>
      </c>
      <c r="O148">
        <v>1</v>
      </c>
      <c r="P148" s="1">
        <f t="shared" si="14"/>
        <v>2600</v>
      </c>
      <c r="Q148" s="1">
        <f t="shared" si="15"/>
        <v>130</v>
      </c>
      <c r="R148" s="1">
        <f t="shared" si="11"/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3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12"/>
        <v>2</v>
      </c>
      <c r="L149">
        <f t="shared" si="13"/>
        <v>2023</v>
      </c>
      <c r="M149" s="1">
        <v>90</v>
      </c>
      <c r="N149" s="1">
        <v>150</v>
      </c>
      <c r="O149">
        <v>2</v>
      </c>
      <c r="P149" s="1">
        <f t="shared" si="14"/>
        <v>300</v>
      </c>
      <c r="Q149" s="1">
        <f t="shared" si="15"/>
        <v>0</v>
      </c>
      <c r="R149" s="1">
        <f t="shared" si="11"/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3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12"/>
        <v>2</v>
      </c>
      <c r="L150">
        <f t="shared" si="13"/>
        <v>2023</v>
      </c>
      <c r="M150" s="1">
        <v>840</v>
      </c>
      <c r="N150" s="1">
        <v>1200</v>
      </c>
      <c r="O150">
        <v>2</v>
      </c>
      <c r="P150" s="1">
        <f t="shared" si="14"/>
        <v>2400</v>
      </c>
      <c r="Q150" s="1">
        <f t="shared" si="15"/>
        <v>120</v>
      </c>
      <c r="R150" s="1">
        <f t="shared" si="11"/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3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12"/>
        <v>2</v>
      </c>
      <c r="L151">
        <f t="shared" si="13"/>
        <v>2023</v>
      </c>
      <c r="M151" s="1">
        <v>120</v>
      </c>
      <c r="N151" s="1">
        <v>200</v>
      </c>
      <c r="O151">
        <v>1</v>
      </c>
      <c r="P151" s="1">
        <f t="shared" si="14"/>
        <v>200</v>
      </c>
      <c r="Q151" s="1">
        <f t="shared" si="15"/>
        <v>0</v>
      </c>
      <c r="R151" s="1">
        <f t="shared" si="11"/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3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12"/>
        <v>2</v>
      </c>
      <c r="L152">
        <f t="shared" si="13"/>
        <v>2023</v>
      </c>
      <c r="M152" s="1">
        <v>1050</v>
      </c>
      <c r="N152" s="1">
        <v>1500</v>
      </c>
      <c r="O152">
        <v>1</v>
      </c>
      <c r="P152" s="1">
        <f t="shared" si="14"/>
        <v>1500</v>
      </c>
      <c r="Q152" s="1">
        <f t="shared" si="15"/>
        <v>0</v>
      </c>
      <c r="R152" s="1">
        <f t="shared" si="11"/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3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12"/>
        <v>2</v>
      </c>
      <c r="L153">
        <f t="shared" si="13"/>
        <v>2023</v>
      </c>
      <c r="M153" s="1">
        <v>240</v>
      </c>
      <c r="N153" s="1">
        <v>400</v>
      </c>
      <c r="O153">
        <v>3</v>
      </c>
      <c r="P153" s="1">
        <f t="shared" si="14"/>
        <v>1200</v>
      </c>
      <c r="Q153" s="1">
        <f t="shared" si="15"/>
        <v>0</v>
      </c>
      <c r="R153" s="1">
        <f t="shared" si="11"/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3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12"/>
        <v>2</v>
      </c>
      <c r="L154">
        <f t="shared" si="13"/>
        <v>2023</v>
      </c>
      <c r="M154" s="1">
        <v>1260</v>
      </c>
      <c r="N154" s="1">
        <v>1800</v>
      </c>
      <c r="O154">
        <v>3</v>
      </c>
      <c r="P154" s="1">
        <f t="shared" si="14"/>
        <v>5400</v>
      </c>
      <c r="Q154" s="1">
        <f t="shared" si="15"/>
        <v>270</v>
      </c>
      <c r="R154" s="1">
        <f t="shared" si="11"/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3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12"/>
        <v>2</v>
      </c>
      <c r="L155">
        <f t="shared" si="13"/>
        <v>2023</v>
      </c>
      <c r="M155" s="1">
        <v>360</v>
      </c>
      <c r="N155" s="1">
        <v>600</v>
      </c>
      <c r="O155">
        <v>1</v>
      </c>
      <c r="P155" s="1">
        <f t="shared" si="14"/>
        <v>600</v>
      </c>
      <c r="Q155" s="1">
        <f t="shared" si="15"/>
        <v>0</v>
      </c>
      <c r="R155" s="1">
        <f t="shared" si="11"/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3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12"/>
        <v>2</v>
      </c>
      <c r="L156">
        <f t="shared" si="13"/>
        <v>2023</v>
      </c>
      <c r="M156" s="1">
        <v>1470</v>
      </c>
      <c r="N156" s="1">
        <v>2100</v>
      </c>
      <c r="O156">
        <v>1</v>
      </c>
      <c r="P156" s="1">
        <f t="shared" si="14"/>
        <v>2100</v>
      </c>
      <c r="Q156" s="1">
        <f t="shared" si="15"/>
        <v>105</v>
      </c>
      <c r="R156" s="1">
        <f t="shared" si="11"/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3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12"/>
        <v>2</v>
      </c>
      <c r="L157">
        <f t="shared" si="13"/>
        <v>2023</v>
      </c>
      <c r="M157" s="1">
        <v>1296</v>
      </c>
      <c r="N157" s="1">
        <v>1800</v>
      </c>
      <c r="O157">
        <v>2</v>
      </c>
      <c r="P157" s="1">
        <f t="shared" si="14"/>
        <v>3600</v>
      </c>
      <c r="Q157" s="1">
        <f t="shared" si="15"/>
        <v>180</v>
      </c>
      <c r="R157" s="1">
        <f t="shared" si="11"/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3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12"/>
        <v>2</v>
      </c>
      <c r="L158">
        <f t="shared" si="13"/>
        <v>2023</v>
      </c>
      <c r="M158" s="1">
        <v>896.99999999999989</v>
      </c>
      <c r="N158" s="1">
        <v>1300</v>
      </c>
      <c r="O158">
        <v>2</v>
      </c>
      <c r="P158" s="1">
        <f t="shared" si="14"/>
        <v>2600</v>
      </c>
      <c r="Q158" s="1">
        <f t="shared" si="15"/>
        <v>130</v>
      </c>
      <c r="R158" s="1">
        <f t="shared" si="11"/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3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12"/>
        <v>2</v>
      </c>
      <c r="L159">
        <f t="shared" si="13"/>
        <v>2023</v>
      </c>
      <c r="M159" s="1">
        <v>1728</v>
      </c>
      <c r="N159" s="1">
        <v>2400</v>
      </c>
      <c r="O159">
        <v>1</v>
      </c>
      <c r="P159" s="1">
        <f t="shared" si="14"/>
        <v>2400</v>
      </c>
      <c r="Q159" s="1">
        <f t="shared" si="15"/>
        <v>120</v>
      </c>
      <c r="R159" s="1">
        <f t="shared" si="11"/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3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12"/>
        <v>2</v>
      </c>
      <c r="L160">
        <f t="shared" si="13"/>
        <v>2023</v>
      </c>
      <c r="M160" s="1">
        <v>1104</v>
      </c>
      <c r="N160" s="1">
        <v>1600</v>
      </c>
      <c r="O160">
        <v>1</v>
      </c>
      <c r="P160" s="1">
        <f t="shared" si="14"/>
        <v>1600</v>
      </c>
      <c r="Q160" s="1">
        <f t="shared" si="15"/>
        <v>0</v>
      </c>
      <c r="R160" s="1">
        <f t="shared" si="11"/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3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12"/>
        <v>2</v>
      </c>
      <c r="L161">
        <f t="shared" si="13"/>
        <v>2023</v>
      </c>
      <c r="M161" s="1">
        <v>1491</v>
      </c>
      <c r="N161" s="1">
        <v>2100</v>
      </c>
      <c r="O161">
        <v>2</v>
      </c>
      <c r="P161" s="1">
        <f t="shared" si="14"/>
        <v>4200</v>
      </c>
      <c r="Q161" s="1">
        <f t="shared" si="15"/>
        <v>210</v>
      </c>
      <c r="R161" s="1">
        <f t="shared" si="11"/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3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12"/>
        <v>2</v>
      </c>
      <c r="L162">
        <f t="shared" si="13"/>
        <v>2023</v>
      </c>
      <c r="M162" s="1">
        <v>1496</v>
      </c>
      <c r="N162" s="1">
        <v>2200</v>
      </c>
      <c r="O162">
        <v>2</v>
      </c>
      <c r="P162" s="1">
        <f t="shared" si="14"/>
        <v>4400</v>
      </c>
      <c r="Q162" s="1">
        <f t="shared" si="15"/>
        <v>220</v>
      </c>
      <c r="R162" s="1">
        <f t="shared" si="11"/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3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12"/>
        <v>2</v>
      </c>
      <c r="L163">
        <f t="shared" si="13"/>
        <v>2023</v>
      </c>
      <c r="M163" s="1">
        <v>1846</v>
      </c>
      <c r="N163" s="1">
        <v>2600</v>
      </c>
      <c r="O163">
        <v>1</v>
      </c>
      <c r="P163" s="1">
        <f t="shared" si="14"/>
        <v>2600</v>
      </c>
      <c r="Q163" s="1">
        <f t="shared" si="15"/>
        <v>130</v>
      </c>
      <c r="R163" s="1">
        <f t="shared" si="11"/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3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12"/>
        <v>2</v>
      </c>
      <c r="L164">
        <f t="shared" si="13"/>
        <v>2023</v>
      </c>
      <c r="M164" s="1">
        <v>1700.0000000000002</v>
      </c>
      <c r="N164" s="1">
        <v>2500</v>
      </c>
      <c r="O164">
        <v>1</v>
      </c>
      <c r="P164" s="1">
        <f t="shared" si="14"/>
        <v>2500</v>
      </c>
      <c r="Q164" s="1">
        <f t="shared" si="15"/>
        <v>125</v>
      </c>
      <c r="R164" s="1">
        <f t="shared" si="11"/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3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12"/>
        <v>2</v>
      </c>
      <c r="L165">
        <f t="shared" si="13"/>
        <v>2023</v>
      </c>
      <c r="M165" s="1">
        <v>720</v>
      </c>
      <c r="N165" s="1">
        <v>1200</v>
      </c>
      <c r="O165">
        <v>2</v>
      </c>
      <c r="P165" s="1">
        <f t="shared" si="14"/>
        <v>2400</v>
      </c>
      <c r="Q165" s="1">
        <f t="shared" si="15"/>
        <v>120</v>
      </c>
      <c r="R165" s="1">
        <f t="shared" si="11"/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3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12"/>
        <v>2</v>
      </c>
      <c r="L166">
        <f t="shared" si="13"/>
        <v>2023</v>
      </c>
      <c r="M166" s="1">
        <v>720</v>
      </c>
      <c r="N166" s="1">
        <v>1200</v>
      </c>
      <c r="O166">
        <v>2</v>
      </c>
      <c r="P166" s="1">
        <f t="shared" si="14"/>
        <v>2400</v>
      </c>
      <c r="Q166" s="1">
        <f t="shared" si="15"/>
        <v>120</v>
      </c>
      <c r="R166" s="1">
        <f t="shared" si="11"/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3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12"/>
        <v>2</v>
      </c>
      <c r="L167">
        <f t="shared" si="13"/>
        <v>2023</v>
      </c>
      <c r="M167" s="1">
        <v>900</v>
      </c>
      <c r="N167" s="1">
        <v>1500</v>
      </c>
      <c r="O167">
        <v>1</v>
      </c>
      <c r="P167" s="1">
        <f t="shared" si="14"/>
        <v>1500</v>
      </c>
      <c r="Q167" s="1">
        <f t="shared" si="15"/>
        <v>0</v>
      </c>
      <c r="R167" s="1">
        <f t="shared" si="11"/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3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12"/>
        <v>2</v>
      </c>
      <c r="L168">
        <f t="shared" si="13"/>
        <v>2023</v>
      </c>
      <c r="M168" s="1">
        <v>900</v>
      </c>
      <c r="N168" s="1">
        <v>1500</v>
      </c>
      <c r="O168">
        <v>1</v>
      </c>
      <c r="P168" s="1">
        <f t="shared" si="14"/>
        <v>1500</v>
      </c>
      <c r="Q168" s="1">
        <f t="shared" si="15"/>
        <v>0</v>
      </c>
      <c r="R168" s="1">
        <f t="shared" si="11"/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3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12"/>
        <v>2</v>
      </c>
      <c r="L169">
        <f t="shared" si="13"/>
        <v>2023</v>
      </c>
      <c r="M169" s="1">
        <v>1931.9999999999998</v>
      </c>
      <c r="N169" s="1">
        <v>2800</v>
      </c>
      <c r="O169">
        <v>3</v>
      </c>
      <c r="P169" s="1">
        <f t="shared" si="14"/>
        <v>8400</v>
      </c>
      <c r="Q169" s="1">
        <f t="shared" si="15"/>
        <v>420</v>
      </c>
      <c r="R169" s="1">
        <f t="shared" si="11"/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3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12"/>
        <v>2</v>
      </c>
      <c r="L170">
        <f t="shared" si="13"/>
        <v>2023</v>
      </c>
      <c r="M170" s="1">
        <v>737</v>
      </c>
      <c r="N170" s="1">
        <v>1100</v>
      </c>
      <c r="O170">
        <v>2</v>
      </c>
      <c r="P170" s="1">
        <f t="shared" si="14"/>
        <v>2200</v>
      </c>
      <c r="Q170" s="1">
        <f t="shared" si="15"/>
        <v>110</v>
      </c>
      <c r="R170" s="1">
        <f t="shared" si="11"/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3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12"/>
        <v>2</v>
      </c>
      <c r="L171">
        <f t="shared" si="13"/>
        <v>2023</v>
      </c>
      <c r="M171" s="1">
        <v>1931.9999999999998</v>
      </c>
      <c r="N171" s="1">
        <v>2800</v>
      </c>
      <c r="O171">
        <v>3</v>
      </c>
      <c r="P171" s="1">
        <f t="shared" si="14"/>
        <v>8400</v>
      </c>
      <c r="Q171" s="1">
        <f t="shared" si="15"/>
        <v>420</v>
      </c>
      <c r="R171" s="1">
        <f t="shared" si="11"/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3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12"/>
        <v>2</v>
      </c>
      <c r="L172">
        <f t="shared" si="13"/>
        <v>2023</v>
      </c>
      <c r="M172" s="1">
        <v>2208</v>
      </c>
      <c r="N172" s="1">
        <v>3200</v>
      </c>
      <c r="O172">
        <v>1</v>
      </c>
      <c r="P172" s="1">
        <f t="shared" si="14"/>
        <v>3200</v>
      </c>
      <c r="Q172" s="1">
        <f t="shared" si="15"/>
        <v>160</v>
      </c>
      <c r="R172" s="1">
        <f t="shared" si="11"/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3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12"/>
        <v>2</v>
      </c>
      <c r="L173">
        <f t="shared" si="13"/>
        <v>2023</v>
      </c>
      <c r="M173" s="1">
        <v>938</v>
      </c>
      <c r="N173" s="1">
        <v>1400</v>
      </c>
      <c r="O173">
        <v>1</v>
      </c>
      <c r="P173" s="1">
        <f t="shared" si="14"/>
        <v>1400</v>
      </c>
      <c r="Q173" s="1">
        <f t="shared" si="15"/>
        <v>0</v>
      </c>
      <c r="R173" s="1">
        <f t="shared" si="11"/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3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12"/>
        <v>2</v>
      </c>
      <c r="L174">
        <f t="shared" si="13"/>
        <v>2023</v>
      </c>
      <c r="M174" s="1">
        <v>2208</v>
      </c>
      <c r="N174" s="1">
        <v>3200</v>
      </c>
      <c r="O174">
        <v>1</v>
      </c>
      <c r="P174" s="1">
        <f t="shared" si="14"/>
        <v>3200</v>
      </c>
      <c r="Q174" s="1">
        <f t="shared" si="15"/>
        <v>160</v>
      </c>
      <c r="R174" s="1">
        <f t="shared" si="11"/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3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12"/>
        <v>2</v>
      </c>
      <c r="L175">
        <f t="shared" si="13"/>
        <v>2023</v>
      </c>
      <c r="M175" s="1">
        <v>938</v>
      </c>
      <c r="N175" s="1">
        <v>1400</v>
      </c>
      <c r="O175">
        <v>1</v>
      </c>
      <c r="P175" s="1">
        <f t="shared" si="14"/>
        <v>1400</v>
      </c>
      <c r="Q175" s="1">
        <f t="shared" si="15"/>
        <v>0</v>
      </c>
      <c r="R175" s="1">
        <f t="shared" si="11"/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3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12"/>
        <v>2</v>
      </c>
      <c r="L176">
        <f t="shared" si="13"/>
        <v>2023</v>
      </c>
      <c r="M176" s="1">
        <v>1500</v>
      </c>
      <c r="N176" s="1">
        <v>2000</v>
      </c>
      <c r="O176">
        <v>2</v>
      </c>
      <c r="P176" s="1">
        <f t="shared" si="14"/>
        <v>4000</v>
      </c>
      <c r="Q176" s="1">
        <f t="shared" si="15"/>
        <v>200</v>
      </c>
      <c r="R176" s="1">
        <f t="shared" si="11"/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3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12"/>
        <v>2</v>
      </c>
      <c r="L177">
        <f t="shared" si="13"/>
        <v>2023</v>
      </c>
      <c r="M177" s="1">
        <v>1190</v>
      </c>
      <c r="N177" s="1">
        <v>1700</v>
      </c>
      <c r="O177">
        <v>3</v>
      </c>
      <c r="P177" s="1">
        <f t="shared" si="14"/>
        <v>5100</v>
      </c>
      <c r="Q177" s="1">
        <f t="shared" si="15"/>
        <v>255</v>
      </c>
      <c r="R177" s="1">
        <f t="shared" si="11"/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3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12"/>
        <v>2</v>
      </c>
      <c r="L178">
        <f t="shared" si="13"/>
        <v>2023</v>
      </c>
      <c r="M178" s="1">
        <v>1500</v>
      </c>
      <c r="N178" s="1">
        <v>2000</v>
      </c>
      <c r="O178">
        <v>2</v>
      </c>
      <c r="P178" s="1">
        <f t="shared" si="14"/>
        <v>4000</v>
      </c>
      <c r="Q178" s="1">
        <f t="shared" si="15"/>
        <v>200</v>
      </c>
      <c r="R178" s="1">
        <f t="shared" si="11"/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3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12"/>
        <v>2</v>
      </c>
      <c r="L179">
        <f t="shared" si="13"/>
        <v>2023</v>
      </c>
      <c r="M179" s="1">
        <v>1190</v>
      </c>
      <c r="N179" s="1">
        <v>1700</v>
      </c>
      <c r="O179">
        <v>3</v>
      </c>
      <c r="P179" s="1">
        <f t="shared" si="14"/>
        <v>5100</v>
      </c>
      <c r="Q179" s="1">
        <f t="shared" si="15"/>
        <v>255</v>
      </c>
      <c r="R179" s="1">
        <f t="shared" si="11"/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3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12"/>
        <v>2</v>
      </c>
      <c r="L180">
        <f t="shared" si="13"/>
        <v>2023</v>
      </c>
      <c r="M180" s="1">
        <v>1800</v>
      </c>
      <c r="N180" s="1">
        <v>2400</v>
      </c>
      <c r="O180">
        <v>1</v>
      </c>
      <c r="P180" s="1">
        <f t="shared" si="14"/>
        <v>2400</v>
      </c>
      <c r="Q180" s="1">
        <f t="shared" si="15"/>
        <v>120</v>
      </c>
      <c r="R180" s="1">
        <f t="shared" si="11"/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3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12"/>
        <v>2</v>
      </c>
      <c r="L181">
        <f t="shared" si="13"/>
        <v>2023</v>
      </c>
      <c r="M181" s="1">
        <v>1400</v>
      </c>
      <c r="N181" s="1">
        <v>2000</v>
      </c>
      <c r="O181">
        <v>1</v>
      </c>
      <c r="P181" s="1">
        <f t="shared" si="14"/>
        <v>2000</v>
      </c>
      <c r="Q181" s="1">
        <f t="shared" si="15"/>
        <v>0</v>
      </c>
      <c r="R181" s="1">
        <f t="shared" si="11"/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3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12"/>
        <v>2</v>
      </c>
      <c r="L182">
        <f t="shared" si="13"/>
        <v>2023</v>
      </c>
      <c r="M182" s="1">
        <v>1800</v>
      </c>
      <c r="N182" s="1">
        <v>2400</v>
      </c>
      <c r="O182">
        <v>1</v>
      </c>
      <c r="P182" s="1">
        <f t="shared" si="14"/>
        <v>2400</v>
      </c>
      <c r="Q182" s="1">
        <f t="shared" si="15"/>
        <v>120</v>
      </c>
      <c r="R182" s="1">
        <f t="shared" si="11"/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3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12"/>
        <v>2</v>
      </c>
      <c r="L183">
        <f t="shared" si="13"/>
        <v>2023</v>
      </c>
      <c r="M183" s="1">
        <v>1400</v>
      </c>
      <c r="N183" s="1">
        <v>2000</v>
      </c>
      <c r="O183">
        <v>1</v>
      </c>
      <c r="P183" s="1">
        <f t="shared" si="14"/>
        <v>2000</v>
      </c>
      <c r="Q183" s="1">
        <f t="shared" si="15"/>
        <v>0</v>
      </c>
      <c r="R183" s="1">
        <f t="shared" si="11"/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3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12"/>
        <v>2</v>
      </c>
      <c r="L184">
        <f t="shared" si="13"/>
        <v>2023</v>
      </c>
      <c r="M184" s="1">
        <v>2291</v>
      </c>
      <c r="N184" s="1">
        <v>2900</v>
      </c>
      <c r="O184">
        <v>2</v>
      </c>
      <c r="P184" s="1">
        <f t="shared" si="14"/>
        <v>5800</v>
      </c>
      <c r="Q184" s="1">
        <f t="shared" si="15"/>
        <v>290</v>
      </c>
      <c r="R184" s="1">
        <f t="shared" si="11"/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3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12"/>
        <v>2</v>
      </c>
      <c r="L185">
        <f t="shared" si="13"/>
        <v>2023</v>
      </c>
      <c r="M185" s="1">
        <v>975</v>
      </c>
      <c r="N185" s="1">
        <v>1500</v>
      </c>
      <c r="O185">
        <v>2</v>
      </c>
      <c r="P185" s="1">
        <f t="shared" si="14"/>
        <v>3000</v>
      </c>
      <c r="Q185" s="1">
        <f t="shared" si="15"/>
        <v>150</v>
      </c>
      <c r="R185" s="1">
        <f t="shared" si="11"/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3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12"/>
        <v>2</v>
      </c>
      <c r="L186">
        <f t="shared" si="13"/>
        <v>2023</v>
      </c>
      <c r="M186" s="1">
        <v>2291</v>
      </c>
      <c r="N186" s="1">
        <v>2900</v>
      </c>
      <c r="O186">
        <v>2</v>
      </c>
      <c r="P186" s="1">
        <f t="shared" si="14"/>
        <v>5800</v>
      </c>
      <c r="Q186" s="1">
        <f t="shared" si="15"/>
        <v>290</v>
      </c>
      <c r="R186" s="1">
        <f t="shared" si="11"/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3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12"/>
        <v>2</v>
      </c>
      <c r="L187">
        <f t="shared" si="13"/>
        <v>2023</v>
      </c>
      <c r="M187" s="1">
        <v>975</v>
      </c>
      <c r="N187" s="1">
        <v>1500</v>
      </c>
      <c r="O187">
        <v>2</v>
      </c>
      <c r="P187" s="1">
        <f t="shared" si="14"/>
        <v>3000</v>
      </c>
      <c r="Q187" s="1">
        <f t="shared" si="15"/>
        <v>150</v>
      </c>
      <c r="R187" s="1">
        <f t="shared" si="11"/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3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12"/>
        <v>2</v>
      </c>
      <c r="L188">
        <f t="shared" si="13"/>
        <v>2023</v>
      </c>
      <c r="M188" s="1">
        <v>2607</v>
      </c>
      <c r="N188" s="1">
        <v>3300</v>
      </c>
      <c r="O188">
        <v>1</v>
      </c>
      <c r="P188" s="1">
        <f t="shared" si="14"/>
        <v>3300</v>
      </c>
      <c r="Q188" s="1">
        <f t="shared" si="15"/>
        <v>165</v>
      </c>
      <c r="R188" s="1">
        <f t="shared" si="11"/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3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12"/>
        <v>2</v>
      </c>
      <c r="L189">
        <f t="shared" si="13"/>
        <v>2023</v>
      </c>
      <c r="M189" s="1">
        <v>1170</v>
      </c>
      <c r="N189" s="1">
        <v>1800</v>
      </c>
      <c r="O189">
        <v>1</v>
      </c>
      <c r="P189" s="1">
        <f t="shared" si="14"/>
        <v>1800</v>
      </c>
      <c r="Q189" s="1">
        <f t="shared" si="15"/>
        <v>0</v>
      </c>
      <c r="R189" s="1">
        <f t="shared" si="11"/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3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12"/>
        <v>2</v>
      </c>
      <c r="L190">
        <f t="shared" si="13"/>
        <v>2023</v>
      </c>
      <c r="M190" s="1">
        <v>1170</v>
      </c>
      <c r="N190" s="1">
        <v>1800</v>
      </c>
      <c r="O190">
        <v>1</v>
      </c>
      <c r="P190" s="1">
        <f t="shared" si="14"/>
        <v>1800</v>
      </c>
      <c r="Q190" s="1">
        <f t="shared" si="15"/>
        <v>0</v>
      </c>
      <c r="R190" s="1">
        <f t="shared" si="11"/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3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12"/>
        <v>2</v>
      </c>
      <c r="L191">
        <f t="shared" si="13"/>
        <v>2023</v>
      </c>
      <c r="M191" s="1">
        <v>1656</v>
      </c>
      <c r="N191" s="1">
        <v>2300</v>
      </c>
      <c r="O191">
        <v>2</v>
      </c>
      <c r="P191" s="1">
        <f t="shared" si="14"/>
        <v>4600</v>
      </c>
      <c r="Q191" s="1">
        <f t="shared" si="15"/>
        <v>230</v>
      </c>
      <c r="R191" s="1">
        <f t="shared" si="11"/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3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12"/>
        <v>2</v>
      </c>
      <c r="L192">
        <f t="shared" si="13"/>
        <v>2023</v>
      </c>
      <c r="M192" s="1">
        <v>1656</v>
      </c>
      <c r="N192" s="1">
        <v>2300</v>
      </c>
      <c r="O192">
        <v>2</v>
      </c>
      <c r="P192" s="1">
        <f t="shared" si="14"/>
        <v>4600</v>
      </c>
      <c r="Q192" s="1">
        <f t="shared" si="15"/>
        <v>230</v>
      </c>
      <c r="R192" s="1">
        <f t="shared" si="11"/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3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12"/>
        <v>2</v>
      </c>
      <c r="L193">
        <f t="shared" si="13"/>
        <v>2023</v>
      </c>
      <c r="M193" s="1">
        <v>1872</v>
      </c>
      <c r="N193" s="1">
        <v>2600</v>
      </c>
      <c r="O193">
        <v>1</v>
      </c>
      <c r="P193" s="1">
        <f t="shared" si="14"/>
        <v>2600</v>
      </c>
      <c r="Q193" s="1">
        <f t="shared" si="15"/>
        <v>130</v>
      </c>
      <c r="R193" s="1">
        <f t="shared" si="11"/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3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12"/>
        <v>2</v>
      </c>
      <c r="L194">
        <f t="shared" si="13"/>
        <v>2023</v>
      </c>
      <c r="M194" s="1">
        <v>1872</v>
      </c>
      <c r="N194" s="1">
        <v>2600</v>
      </c>
      <c r="O194">
        <v>1</v>
      </c>
      <c r="P194" s="1">
        <f t="shared" si="14"/>
        <v>2600</v>
      </c>
      <c r="Q194" s="1">
        <f t="shared" si="15"/>
        <v>130</v>
      </c>
      <c r="R194" s="1">
        <f t="shared" ref="R194:R257" si="16"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3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7">MONTH(J195)</f>
        <v>3</v>
      </c>
      <c r="L195">
        <f t="shared" ref="L195:L246" si="18">YEAR(J195)</f>
        <v>2023</v>
      </c>
      <c r="M195" s="1">
        <v>840</v>
      </c>
      <c r="N195" s="1">
        <v>1200</v>
      </c>
      <c r="O195">
        <v>2</v>
      </c>
      <c r="P195" s="1">
        <f t="shared" ref="P195:P246" si="19">N195*O195</f>
        <v>2400</v>
      </c>
      <c r="Q195" s="1">
        <f t="shared" ref="Q195:Q246" si="20">IF(P195&gt;2000,P195*5%,0)</f>
        <v>120</v>
      </c>
      <c r="R195" s="1">
        <f t="shared" si="16"/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3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7"/>
        <v>3</v>
      </c>
      <c r="L196">
        <f t="shared" si="18"/>
        <v>2023</v>
      </c>
      <c r="M196" s="1">
        <v>1460</v>
      </c>
      <c r="N196" s="1">
        <v>2000</v>
      </c>
      <c r="O196">
        <v>2</v>
      </c>
      <c r="P196" s="1">
        <f t="shared" si="19"/>
        <v>4000</v>
      </c>
      <c r="Q196" s="1">
        <f t="shared" si="20"/>
        <v>200</v>
      </c>
      <c r="R196" s="1">
        <f t="shared" si="16"/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3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7"/>
        <v>3</v>
      </c>
      <c r="L197">
        <f t="shared" si="18"/>
        <v>2023</v>
      </c>
      <c r="M197" s="1">
        <v>840</v>
      </c>
      <c r="N197" s="1">
        <v>1200</v>
      </c>
      <c r="O197">
        <v>2</v>
      </c>
      <c r="P197" s="1">
        <f t="shared" si="19"/>
        <v>2400</v>
      </c>
      <c r="Q197" s="1">
        <f t="shared" si="20"/>
        <v>120</v>
      </c>
      <c r="R197" s="1">
        <f t="shared" si="16"/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3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7"/>
        <v>3</v>
      </c>
      <c r="L198">
        <f t="shared" si="18"/>
        <v>2023</v>
      </c>
      <c r="M198" s="1">
        <v>1050</v>
      </c>
      <c r="N198" s="1">
        <v>1500</v>
      </c>
      <c r="O198">
        <v>1</v>
      </c>
      <c r="P198" s="1">
        <f t="shared" si="19"/>
        <v>1500</v>
      </c>
      <c r="Q198" s="1">
        <f t="shared" si="20"/>
        <v>0</v>
      </c>
      <c r="R198" s="1">
        <f t="shared" si="16"/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3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7"/>
        <v>3</v>
      </c>
      <c r="L199">
        <f t="shared" si="18"/>
        <v>2023</v>
      </c>
      <c r="M199" s="1">
        <v>1825</v>
      </c>
      <c r="N199" s="1">
        <v>2500</v>
      </c>
      <c r="O199">
        <v>1</v>
      </c>
      <c r="P199" s="1">
        <f t="shared" si="19"/>
        <v>2500</v>
      </c>
      <c r="Q199" s="1">
        <f t="shared" si="20"/>
        <v>125</v>
      </c>
      <c r="R199" s="1">
        <f t="shared" si="16"/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3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7"/>
        <v>3</v>
      </c>
      <c r="L200">
        <f t="shared" si="18"/>
        <v>2023</v>
      </c>
      <c r="M200" s="1">
        <v>1050</v>
      </c>
      <c r="N200" s="1">
        <v>1500</v>
      </c>
      <c r="O200">
        <v>1</v>
      </c>
      <c r="P200" s="1">
        <f t="shared" si="19"/>
        <v>1500</v>
      </c>
      <c r="Q200" s="1">
        <f t="shared" si="20"/>
        <v>0</v>
      </c>
      <c r="R200" s="1">
        <f t="shared" si="16"/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3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7"/>
        <v>3</v>
      </c>
      <c r="L201">
        <f t="shared" si="18"/>
        <v>2023</v>
      </c>
      <c r="M201" s="1">
        <v>1260</v>
      </c>
      <c r="N201" s="1">
        <v>1800</v>
      </c>
      <c r="O201">
        <v>3</v>
      </c>
      <c r="P201" s="1">
        <f t="shared" si="19"/>
        <v>5400</v>
      </c>
      <c r="Q201" s="1">
        <f t="shared" si="20"/>
        <v>270</v>
      </c>
      <c r="R201" s="1">
        <f t="shared" si="16"/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3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7"/>
        <v>3</v>
      </c>
      <c r="L202">
        <f t="shared" si="18"/>
        <v>2023</v>
      </c>
      <c r="M202" s="1">
        <v>1105</v>
      </c>
      <c r="N202" s="1">
        <v>1700</v>
      </c>
      <c r="O202">
        <v>3</v>
      </c>
      <c r="P202" s="1">
        <f t="shared" si="19"/>
        <v>5100</v>
      </c>
      <c r="Q202" s="1">
        <f t="shared" si="20"/>
        <v>255</v>
      </c>
      <c r="R202" s="1">
        <f t="shared" si="16"/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3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7"/>
        <v>3</v>
      </c>
      <c r="L203">
        <f t="shared" si="18"/>
        <v>2023</v>
      </c>
      <c r="M203" s="1">
        <v>1260</v>
      </c>
      <c r="N203" s="1">
        <v>1800</v>
      </c>
      <c r="O203">
        <v>3</v>
      </c>
      <c r="P203" s="1">
        <f t="shared" si="19"/>
        <v>5400</v>
      </c>
      <c r="Q203" s="1">
        <f t="shared" si="20"/>
        <v>270</v>
      </c>
      <c r="R203" s="1">
        <f t="shared" si="16"/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3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7"/>
        <v>3</v>
      </c>
      <c r="L204">
        <f t="shared" si="18"/>
        <v>2023</v>
      </c>
      <c r="M204" s="1">
        <v>1470</v>
      </c>
      <c r="N204" s="1">
        <v>2100</v>
      </c>
      <c r="O204">
        <v>1</v>
      </c>
      <c r="P204" s="1">
        <f t="shared" si="19"/>
        <v>2100</v>
      </c>
      <c r="Q204" s="1">
        <f t="shared" si="20"/>
        <v>105</v>
      </c>
      <c r="R204" s="1">
        <f t="shared" si="16"/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3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7"/>
        <v>3</v>
      </c>
      <c r="L205">
        <f t="shared" si="18"/>
        <v>2023</v>
      </c>
      <c r="M205" s="1">
        <v>1365</v>
      </c>
      <c r="N205" s="1">
        <v>2100</v>
      </c>
      <c r="O205">
        <v>1</v>
      </c>
      <c r="P205" s="1">
        <f t="shared" si="19"/>
        <v>2100</v>
      </c>
      <c r="Q205" s="1">
        <f t="shared" si="20"/>
        <v>105</v>
      </c>
      <c r="R205" s="1">
        <f t="shared" si="16"/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3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7"/>
        <v>3</v>
      </c>
      <c r="L206">
        <f t="shared" si="18"/>
        <v>2023</v>
      </c>
      <c r="M206" s="1">
        <v>1470</v>
      </c>
      <c r="N206" s="1">
        <v>2100</v>
      </c>
      <c r="O206">
        <v>1</v>
      </c>
      <c r="P206" s="1">
        <f t="shared" si="19"/>
        <v>2100</v>
      </c>
      <c r="Q206" s="1">
        <f t="shared" si="20"/>
        <v>105</v>
      </c>
      <c r="R206" s="1">
        <f t="shared" si="16"/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3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7"/>
        <v>3</v>
      </c>
      <c r="L207">
        <f t="shared" si="18"/>
        <v>2023</v>
      </c>
      <c r="M207" s="1">
        <v>896.99999999999989</v>
      </c>
      <c r="N207" s="1">
        <v>1300</v>
      </c>
      <c r="O207">
        <v>2</v>
      </c>
      <c r="P207" s="1">
        <f t="shared" si="19"/>
        <v>2600</v>
      </c>
      <c r="Q207" s="1">
        <f t="shared" si="20"/>
        <v>130</v>
      </c>
      <c r="R207" s="1">
        <f t="shared" si="16"/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3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7"/>
        <v>3</v>
      </c>
      <c r="L208">
        <f t="shared" si="18"/>
        <v>2023</v>
      </c>
      <c r="M208" s="1">
        <v>1035</v>
      </c>
      <c r="N208" s="1">
        <v>1500</v>
      </c>
      <c r="O208">
        <v>2</v>
      </c>
      <c r="P208" s="1">
        <f t="shared" si="19"/>
        <v>3000</v>
      </c>
      <c r="Q208" s="1">
        <f t="shared" si="20"/>
        <v>150</v>
      </c>
      <c r="R208" s="1">
        <f t="shared" si="16"/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3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7"/>
        <v>3</v>
      </c>
      <c r="L209">
        <f t="shared" si="18"/>
        <v>2023</v>
      </c>
      <c r="M209" s="1">
        <v>896.99999999999989</v>
      </c>
      <c r="N209" s="1">
        <v>1300</v>
      </c>
      <c r="O209">
        <v>2</v>
      </c>
      <c r="P209" s="1">
        <f t="shared" si="19"/>
        <v>2600</v>
      </c>
      <c r="Q209" s="1">
        <f t="shared" si="20"/>
        <v>130</v>
      </c>
      <c r="R209" s="1">
        <f t="shared" si="16"/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3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7"/>
        <v>3</v>
      </c>
      <c r="L210">
        <f t="shared" si="18"/>
        <v>2023</v>
      </c>
      <c r="M210" s="1">
        <v>1104</v>
      </c>
      <c r="N210" s="1">
        <v>1600</v>
      </c>
      <c r="O210">
        <v>1</v>
      </c>
      <c r="P210" s="1">
        <f t="shared" si="19"/>
        <v>1600</v>
      </c>
      <c r="Q210" s="1">
        <f t="shared" si="20"/>
        <v>0</v>
      </c>
      <c r="R210" s="1">
        <f t="shared" si="16"/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3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7"/>
        <v>3</v>
      </c>
      <c r="L211">
        <f t="shared" si="18"/>
        <v>2023</v>
      </c>
      <c r="M211" s="1">
        <v>1242</v>
      </c>
      <c r="N211" s="1">
        <v>1800</v>
      </c>
      <c r="O211">
        <v>1</v>
      </c>
      <c r="P211" s="1">
        <f t="shared" si="19"/>
        <v>1800</v>
      </c>
      <c r="Q211" s="1">
        <f t="shared" si="20"/>
        <v>0</v>
      </c>
      <c r="R211" s="1">
        <f t="shared" si="16"/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3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7"/>
        <v>3</v>
      </c>
      <c r="L212">
        <f t="shared" si="18"/>
        <v>2023</v>
      </c>
      <c r="M212" s="1">
        <v>1104</v>
      </c>
      <c r="N212" s="1">
        <v>1600</v>
      </c>
      <c r="O212">
        <v>1</v>
      </c>
      <c r="P212" s="1">
        <f t="shared" si="19"/>
        <v>1600</v>
      </c>
      <c r="Q212" s="1">
        <f t="shared" si="20"/>
        <v>0</v>
      </c>
      <c r="R212" s="1">
        <f t="shared" si="16"/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3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7"/>
        <v>3</v>
      </c>
      <c r="L213">
        <f t="shared" si="18"/>
        <v>2023</v>
      </c>
      <c r="M213" s="1">
        <v>1496</v>
      </c>
      <c r="N213" s="1">
        <v>2200</v>
      </c>
      <c r="O213">
        <v>2</v>
      </c>
      <c r="P213" s="1">
        <f t="shared" si="19"/>
        <v>4400</v>
      </c>
      <c r="Q213" s="1">
        <f t="shared" si="20"/>
        <v>220</v>
      </c>
      <c r="R213" s="1">
        <f t="shared" si="16"/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3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7"/>
        <v>3</v>
      </c>
      <c r="L214">
        <f t="shared" si="18"/>
        <v>2023</v>
      </c>
      <c r="M214" s="1">
        <v>2080</v>
      </c>
      <c r="N214" s="1">
        <v>3200</v>
      </c>
      <c r="O214">
        <v>2</v>
      </c>
      <c r="P214" s="1">
        <f t="shared" si="19"/>
        <v>6400</v>
      </c>
      <c r="Q214" s="1">
        <f t="shared" si="20"/>
        <v>320</v>
      </c>
      <c r="R214" s="1">
        <f t="shared" si="16"/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3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7"/>
        <v>3</v>
      </c>
      <c r="L215">
        <f t="shared" si="18"/>
        <v>2023</v>
      </c>
      <c r="M215" s="1">
        <v>1496</v>
      </c>
      <c r="N215" s="1">
        <v>2200</v>
      </c>
      <c r="O215">
        <v>2</v>
      </c>
      <c r="P215" s="1">
        <f t="shared" si="19"/>
        <v>4400</v>
      </c>
      <c r="Q215" s="1">
        <f t="shared" si="20"/>
        <v>220</v>
      </c>
      <c r="R215" s="1">
        <f t="shared" si="16"/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3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7"/>
        <v>3</v>
      </c>
      <c r="L216">
        <f t="shared" si="18"/>
        <v>2023</v>
      </c>
      <c r="M216" s="1">
        <v>1700.0000000000002</v>
      </c>
      <c r="N216" s="1">
        <v>2500</v>
      </c>
      <c r="O216">
        <v>1</v>
      </c>
      <c r="P216" s="1">
        <f t="shared" si="19"/>
        <v>2500</v>
      </c>
      <c r="Q216" s="1">
        <f t="shared" si="20"/>
        <v>125</v>
      </c>
      <c r="R216" s="1">
        <f t="shared" si="16"/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3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7"/>
        <v>3</v>
      </c>
      <c r="L217">
        <f t="shared" si="18"/>
        <v>2023</v>
      </c>
      <c r="M217" s="1">
        <v>2405</v>
      </c>
      <c r="N217" s="1">
        <v>3700</v>
      </c>
      <c r="O217">
        <v>1</v>
      </c>
      <c r="P217" s="1">
        <f t="shared" si="19"/>
        <v>3700</v>
      </c>
      <c r="Q217" s="1">
        <f t="shared" si="20"/>
        <v>185</v>
      </c>
      <c r="R217" s="1">
        <f t="shared" si="16"/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3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7"/>
        <v>3</v>
      </c>
      <c r="L218">
        <f t="shared" si="18"/>
        <v>2023</v>
      </c>
      <c r="M218" s="1">
        <v>1700.0000000000002</v>
      </c>
      <c r="N218" s="1">
        <v>2500</v>
      </c>
      <c r="O218">
        <v>1</v>
      </c>
      <c r="P218" s="1">
        <f t="shared" si="19"/>
        <v>2500</v>
      </c>
      <c r="Q218" s="1">
        <f t="shared" si="20"/>
        <v>125</v>
      </c>
      <c r="R218" s="1">
        <f t="shared" si="16"/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3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7"/>
        <v>3</v>
      </c>
      <c r="L219">
        <f t="shared" si="18"/>
        <v>2023</v>
      </c>
      <c r="M219" s="1">
        <v>780</v>
      </c>
      <c r="N219" s="1">
        <v>1300</v>
      </c>
      <c r="O219">
        <v>2</v>
      </c>
      <c r="P219" s="1">
        <f t="shared" si="19"/>
        <v>2600</v>
      </c>
      <c r="Q219" s="1">
        <f t="shared" si="20"/>
        <v>130</v>
      </c>
      <c r="R219" s="1">
        <f t="shared" si="16"/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3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7"/>
        <v>3</v>
      </c>
      <c r="L220">
        <f t="shared" si="18"/>
        <v>2023</v>
      </c>
      <c r="M220" s="1">
        <v>780</v>
      </c>
      <c r="N220" s="1">
        <v>1300</v>
      </c>
      <c r="O220">
        <v>2</v>
      </c>
      <c r="P220" s="1">
        <f t="shared" si="19"/>
        <v>2600</v>
      </c>
      <c r="Q220" s="1">
        <f t="shared" si="20"/>
        <v>130</v>
      </c>
      <c r="R220" s="1">
        <f t="shared" si="16"/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3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7"/>
        <v>3</v>
      </c>
      <c r="L221">
        <f t="shared" si="18"/>
        <v>2023</v>
      </c>
      <c r="M221" s="1">
        <v>960</v>
      </c>
      <c r="N221" s="1">
        <v>1600</v>
      </c>
      <c r="O221">
        <v>1</v>
      </c>
      <c r="P221" s="1">
        <f t="shared" si="19"/>
        <v>1600</v>
      </c>
      <c r="Q221" s="1">
        <f t="shared" si="20"/>
        <v>0</v>
      </c>
      <c r="R221" s="1">
        <f t="shared" si="16"/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3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7"/>
        <v>3</v>
      </c>
      <c r="L222">
        <f t="shared" si="18"/>
        <v>2023</v>
      </c>
      <c r="M222" s="1">
        <v>960</v>
      </c>
      <c r="N222" s="1">
        <v>1600</v>
      </c>
      <c r="O222">
        <v>1</v>
      </c>
      <c r="P222" s="1">
        <f t="shared" si="19"/>
        <v>1600</v>
      </c>
      <c r="Q222" s="1">
        <f t="shared" si="20"/>
        <v>0</v>
      </c>
      <c r="R222" s="1">
        <f t="shared" si="16"/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3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7"/>
        <v>3</v>
      </c>
      <c r="L223">
        <f t="shared" si="18"/>
        <v>2023</v>
      </c>
      <c r="M223" s="1">
        <v>1292</v>
      </c>
      <c r="N223" s="1">
        <v>1900</v>
      </c>
      <c r="O223">
        <v>3</v>
      </c>
      <c r="P223" s="1">
        <f t="shared" si="19"/>
        <v>5700</v>
      </c>
      <c r="Q223" s="1">
        <f t="shared" si="20"/>
        <v>285</v>
      </c>
      <c r="R223" s="1">
        <f t="shared" si="16"/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3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7"/>
        <v>3</v>
      </c>
      <c r="L224">
        <f t="shared" si="18"/>
        <v>2023</v>
      </c>
      <c r="M224" s="1">
        <v>1292</v>
      </c>
      <c r="N224" s="1">
        <v>1900</v>
      </c>
      <c r="O224">
        <v>3</v>
      </c>
      <c r="P224" s="1">
        <f t="shared" si="19"/>
        <v>5700</v>
      </c>
      <c r="Q224" s="1">
        <f t="shared" si="20"/>
        <v>285</v>
      </c>
      <c r="R224" s="1">
        <f t="shared" si="16"/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3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7"/>
        <v>3</v>
      </c>
      <c r="L225">
        <f t="shared" si="18"/>
        <v>2023</v>
      </c>
      <c r="M225" s="1">
        <v>1496</v>
      </c>
      <c r="N225" s="1">
        <v>2200</v>
      </c>
      <c r="O225">
        <v>1</v>
      </c>
      <c r="P225" s="1">
        <f t="shared" si="19"/>
        <v>2200</v>
      </c>
      <c r="Q225" s="1">
        <f t="shared" si="20"/>
        <v>110</v>
      </c>
      <c r="R225" s="1">
        <f t="shared" si="16"/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3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7"/>
        <v>3</v>
      </c>
      <c r="L226">
        <f t="shared" si="18"/>
        <v>2023</v>
      </c>
      <c r="M226" s="1">
        <v>1496</v>
      </c>
      <c r="N226" s="1">
        <v>2200</v>
      </c>
      <c r="O226">
        <v>1</v>
      </c>
      <c r="P226" s="1">
        <f t="shared" si="19"/>
        <v>2200</v>
      </c>
      <c r="Q226" s="1">
        <f t="shared" si="20"/>
        <v>110</v>
      </c>
      <c r="R226" s="1">
        <f t="shared" si="16"/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3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7"/>
        <v>3</v>
      </c>
      <c r="L227">
        <f t="shared" si="18"/>
        <v>2023</v>
      </c>
      <c r="M227" s="1">
        <v>1340</v>
      </c>
      <c r="N227" s="1">
        <v>2000</v>
      </c>
      <c r="O227">
        <v>2</v>
      </c>
      <c r="P227" s="1">
        <f t="shared" si="19"/>
        <v>4000</v>
      </c>
      <c r="Q227" s="1">
        <f t="shared" si="20"/>
        <v>200</v>
      </c>
      <c r="R227" s="1">
        <f t="shared" si="16"/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3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7"/>
        <v>3</v>
      </c>
      <c r="L228">
        <f t="shared" si="18"/>
        <v>2023</v>
      </c>
      <c r="M228" s="1">
        <v>1541</v>
      </c>
      <c r="N228" s="1">
        <v>2300</v>
      </c>
      <c r="O228">
        <v>1</v>
      </c>
      <c r="P228" s="1">
        <f t="shared" si="19"/>
        <v>2300</v>
      </c>
      <c r="Q228" s="1">
        <f t="shared" si="20"/>
        <v>115</v>
      </c>
      <c r="R228" s="1">
        <f t="shared" si="16"/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3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7"/>
        <v>3</v>
      </c>
      <c r="L229">
        <f t="shared" si="18"/>
        <v>2023</v>
      </c>
      <c r="M229" s="1">
        <v>2250</v>
      </c>
      <c r="N229" s="1">
        <v>3000</v>
      </c>
      <c r="O229">
        <v>2</v>
      </c>
      <c r="P229" s="1">
        <f t="shared" si="19"/>
        <v>6000</v>
      </c>
      <c r="Q229" s="1">
        <f t="shared" si="20"/>
        <v>300</v>
      </c>
      <c r="R229" s="1">
        <f t="shared" si="16"/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3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7"/>
        <v>3</v>
      </c>
      <c r="L230">
        <f t="shared" si="18"/>
        <v>2023</v>
      </c>
      <c r="M230" s="1">
        <v>2625</v>
      </c>
      <c r="N230" s="1">
        <v>3500</v>
      </c>
      <c r="O230">
        <v>1</v>
      </c>
      <c r="P230" s="1">
        <f t="shared" si="19"/>
        <v>3500</v>
      </c>
      <c r="Q230" s="1">
        <f t="shared" si="20"/>
        <v>175</v>
      </c>
      <c r="R230" s="1">
        <f t="shared" si="16"/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3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7"/>
        <v>3</v>
      </c>
      <c r="L231">
        <f t="shared" si="18"/>
        <v>2023</v>
      </c>
      <c r="M231" s="1">
        <v>737</v>
      </c>
      <c r="N231" s="1">
        <v>1100</v>
      </c>
      <c r="O231">
        <v>2</v>
      </c>
      <c r="P231" s="1">
        <f t="shared" si="19"/>
        <v>2200</v>
      </c>
      <c r="Q231" s="1">
        <f t="shared" si="20"/>
        <v>110</v>
      </c>
      <c r="R231" s="1">
        <f t="shared" si="16"/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3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7"/>
        <v>3</v>
      </c>
      <c r="L232">
        <f t="shared" si="18"/>
        <v>2023</v>
      </c>
      <c r="M232" s="1">
        <v>737</v>
      </c>
      <c r="N232" s="1">
        <v>1100</v>
      </c>
      <c r="O232">
        <v>2</v>
      </c>
      <c r="P232" s="1">
        <f t="shared" si="19"/>
        <v>2200</v>
      </c>
      <c r="Q232" s="1">
        <f t="shared" si="20"/>
        <v>110</v>
      </c>
      <c r="R232" s="1">
        <f t="shared" si="16"/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3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7"/>
        <v>3</v>
      </c>
      <c r="L233">
        <f t="shared" si="18"/>
        <v>2023</v>
      </c>
      <c r="M233" s="1">
        <v>938</v>
      </c>
      <c r="N233" s="1">
        <v>1400</v>
      </c>
      <c r="O233">
        <v>1</v>
      </c>
      <c r="P233" s="1">
        <f t="shared" si="19"/>
        <v>1400</v>
      </c>
      <c r="Q233" s="1">
        <f t="shared" si="20"/>
        <v>0</v>
      </c>
      <c r="R233" s="1">
        <f t="shared" si="16"/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3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7"/>
        <v>3</v>
      </c>
      <c r="L234">
        <f t="shared" si="18"/>
        <v>2023</v>
      </c>
      <c r="M234" s="1">
        <v>938</v>
      </c>
      <c r="N234" s="1">
        <v>1400</v>
      </c>
      <c r="O234">
        <v>1</v>
      </c>
      <c r="P234" s="1">
        <f t="shared" si="19"/>
        <v>1400</v>
      </c>
      <c r="Q234" s="1">
        <f t="shared" si="20"/>
        <v>0</v>
      </c>
      <c r="R234" s="1">
        <f t="shared" si="16"/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3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7"/>
        <v>3</v>
      </c>
      <c r="L235">
        <f t="shared" si="18"/>
        <v>2023</v>
      </c>
      <c r="M235" s="1">
        <v>1190</v>
      </c>
      <c r="N235" s="1">
        <v>1700</v>
      </c>
      <c r="O235">
        <v>3</v>
      </c>
      <c r="P235" s="1">
        <f t="shared" si="19"/>
        <v>5100</v>
      </c>
      <c r="Q235" s="1">
        <f t="shared" si="20"/>
        <v>255</v>
      </c>
      <c r="R235" s="1">
        <f t="shared" si="16"/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3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7"/>
        <v>3</v>
      </c>
      <c r="L236">
        <f t="shared" si="18"/>
        <v>2023</v>
      </c>
      <c r="M236" s="1">
        <v>1190</v>
      </c>
      <c r="N236" s="1">
        <v>1700</v>
      </c>
      <c r="O236">
        <v>3</v>
      </c>
      <c r="P236" s="1">
        <f t="shared" si="19"/>
        <v>5100</v>
      </c>
      <c r="Q236" s="1">
        <f t="shared" si="20"/>
        <v>255</v>
      </c>
      <c r="R236" s="1">
        <f t="shared" si="16"/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3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7"/>
        <v>3</v>
      </c>
      <c r="L237">
        <f t="shared" si="18"/>
        <v>2023</v>
      </c>
      <c r="M237" s="1">
        <v>1400</v>
      </c>
      <c r="N237" s="1">
        <v>2000</v>
      </c>
      <c r="O237">
        <v>1</v>
      </c>
      <c r="P237" s="1">
        <f t="shared" si="19"/>
        <v>2000</v>
      </c>
      <c r="Q237" s="1">
        <f t="shared" si="20"/>
        <v>0</v>
      </c>
      <c r="R237" s="1">
        <f t="shared" si="16"/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3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7"/>
        <v>3</v>
      </c>
      <c r="L238">
        <f t="shared" si="18"/>
        <v>2023</v>
      </c>
      <c r="M238" s="1">
        <v>1400</v>
      </c>
      <c r="N238" s="1">
        <v>2000</v>
      </c>
      <c r="O238">
        <v>1</v>
      </c>
      <c r="P238" s="1">
        <f t="shared" si="19"/>
        <v>2000</v>
      </c>
      <c r="Q238" s="1">
        <f t="shared" si="20"/>
        <v>0</v>
      </c>
      <c r="R238" s="1">
        <f t="shared" si="16"/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3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7"/>
        <v>3</v>
      </c>
      <c r="L239">
        <f t="shared" si="18"/>
        <v>2023</v>
      </c>
      <c r="M239" s="1">
        <v>975</v>
      </c>
      <c r="N239" s="1">
        <v>1500</v>
      </c>
      <c r="O239">
        <v>2</v>
      </c>
      <c r="P239" s="1">
        <f t="shared" si="19"/>
        <v>3000</v>
      </c>
      <c r="Q239" s="1">
        <f t="shared" si="20"/>
        <v>150</v>
      </c>
      <c r="R239" s="1">
        <f t="shared" si="16"/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3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7"/>
        <v>3</v>
      </c>
      <c r="L240">
        <f t="shared" si="18"/>
        <v>2023</v>
      </c>
      <c r="M240" s="1">
        <v>975</v>
      </c>
      <c r="N240" s="1">
        <v>1500</v>
      </c>
      <c r="O240">
        <v>2</v>
      </c>
      <c r="P240" s="1">
        <f t="shared" si="19"/>
        <v>3000</v>
      </c>
      <c r="Q240" s="1">
        <f t="shared" si="20"/>
        <v>150</v>
      </c>
      <c r="R240" s="1">
        <f t="shared" si="16"/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3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7"/>
        <v>3</v>
      </c>
      <c r="L241">
        <f t="shared" si="18"/>
        <v>2023</v>
      </c>
      <c r="M241" s="1">
        <v>1170</v>
      </c>
      <c r="N241" s="1">
        <v>1800</v>
      </c>
      <c r="O241">
        <v>1</v>
      </c>
      <c r="P241" s="1">
        <f t="shared" si="19"/>
        <v>1800</v>
      </c>
      <c r="Q241" s="1">
        <f t="shared" si="20"/>
        <v>0</v>
      </c>
      <c r="R241" s="1">
        <f t="shared" si="16"/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3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7"/>
        <v>3</v>
      </c>
      <c r="L242">
        <f t="shared" si="18"/>
        <v>2023</v>
      </c>
      <c r="M242" s="1">
        <v>1170</v>
      </c>
      <c r="N242" s="1">
        <v>1800</v>
      </c>
      <c r="O242">
        <v>1</v>
      </c>
      <c r="P242" s="1">
        <f t="shared" si="19"/>
        <v>1800</v>
      </c>
      <c r="Q242" s="1">
        <f t="shared" si="20"/>
        <v>0</v>
      </c>
      <c r="R242" s="1">
        <f t="shared" si="16"/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3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7"/>
        <v>3</v>
      </c>
      <c r="L243">
        <f t="shared" si="18"/>
        <v>2023</v>
      </c>
      <c r="M243" s="1">
        <v>1656</v>
      </c>
      <c r="N243" s="1">
        <v>2300</v>
      </c>
      <c r="O243">
        <v>2</v>
      </c>
      <c r="P243" s="1">
        <f t="shared" si="19"/>
        <v>4600</v>
      </c>
      <c r="Q243" s="1">
        <f t="shared" si="20"/>
        <v>230</v>
      </c>
      <c r="R243" s="1">
        <f t="shared" si="16"/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3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7"/>
        <v>3</v>
      </c>
      <c r="L244">
        <f t="shared" si="18"/>
        <v>2023</v>
      </c>
      <c r="M244" s="1">
        <v>1656</v>
      </c>
      <c r="N244" s="1">
        <v>2300</v>
      </c>
      <c r="O244">
        <v>2</v>
      </c>
      <c r="P244" s="1">
        <f t="shared" si="19"/>
        <v>4600</v>
      </c>
      <c r="Q244" s="1">
        <f t="shared" si="20"/>
        <v>230</v>
      </c>
      <c r="R244" s="1">
        <f t="shared" si="16"/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3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7"/>
        <v>3</v>
      </c>
      <c r="L245">
        <f t="shared" si="18"/>
        <v>2023</v>
      </c>
      <c r="M245" s="1">
        <v>1872</v>
      </c>
      <c r="N245" s="1">
        <v>1600</v>
      </c>
      <c r="O245">
        <v>1</v>
      </c>
      <c r="P245" s="1">
        <f t="shared" si="19"/>
        <v>1600</v>
      </c>
      <c r="Q245" s="1">
        <f t="shared" si="20"/>
        <v>0</v>
      </c>
      <c r="R245" s="1">
        <f t="shared" si="16"/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3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7"/>
        <v>3</v>
      </c>
      <c r="L246">
        <f t="shared" si="18"/>
        <v>2023</v>
      </c>
      <c r="M246" s="1">
        <v>1872</v>
      </c>
      <c r="N246" s="1">
        <v>2600</v>
      </c>
      <c r="O246">
        <v>1</v>
      </c>
      <c r="P246" s="1">
        <f t="shared" si="19"/>
        <v>2600</v>
      </c>
      <c r="Q246" s="1">
        <f t="shared" si="20"/>
        <v>130</v>
      </c>
      <c r="R246" s="1">
        <f t="shared" si="16"/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sortState xmlns:xlrd2="http://schemas.microsoft.com/office/spreadsheetml/2017/richdata2"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verticalDpi="0" r:id="rId1"/>
  <ignoredErrors>
    <ignoredError sqref="B1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Shraddha Dhanawade</cp:lastModifiedBy>
  <cp:revision/>
  <dcterms:created xsi:type="dcterms:W3CDTF">2023-05-23T18:13:08Z</dcterms:created>
  <dcterms:modified xsi:type="dcterms:W3CDTF">2026-08-17T19:13:31Z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